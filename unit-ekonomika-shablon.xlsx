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Юнит-экономика" sheetId="2" state="visible" r:id="rId4"/>
    <sheet name="Реклам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Доля выкупленных заказов за 30–60 дней из аналитики кабинета.</t>
        </r>
      </text>
    </comment>
    <comment ref="Q4" authorId="0">
      <text>
        <r>
          <rPr>
            <sz val="10"/>
            <rFont val="Arial"/>
            <family val="2"/>
          </rPr>
          <t xml:space="preserve">Каждый невыкуп оплачивается дважды: доставка + возврат. Поэтому делим на % выкупа.</t>
        </r>
      </text>
    </comment>
    <comment ref="Y4" authorId="0">
      <text>
        <r>
          <rPr>
            <sz val="10"/>
            <rFont val="Arial"/>
            <family val="2"/>
          </rPr>
          <t xml:space="preserve">Сколько максимум можно отдать рекламе за один заказ, чтобы выйти в ноль.</t>
        </r>
      </text>
    </comment>
  </commentList>
</comments>
</file>

<file path=xl/sharedStrings.xml><?xml version="1.0" encoding="utf-8"?>
<sst xmlns="http://schemas.openxmlformats.org/spreadsheetml/2006/main" count="60" uniqueCount="60">
  <si>
    <t xml:space="preserve">Шаблон юнит-экономики для Wildberries и Ozon</t>
  </si>
  <si>
    <t xml:space="preserve">Как заполнять</t>
  </si>
  <si>
    <t xml:space="preserve">1. Лист «Юнит-экономика»: одна строка = один артикул. Заполняйте только жёлтые ячейки с синим текстом.</t>
  </si>
  <si>
    <t xml:space="preserve">2. Проценты вводите как проценты (15%), программа хранит их долями (0,15).</t>
  </si>
  <si>
    <t xml:space="preserve">3. Цена продажи — цена после всех скидок продавца, по которой товар реально покупают.</t>
  </si>
  <si>
    <t xml:space="preserve">4. Комиссию, логистику и хранение берите из тарифов в личном кабинете площадки или из отчёта о реализации.</t>
  </si>
  <si>
    <t xml:space="preserve">5. % выкупа — доля заказов, которые выкупили. Смотрите в аналитике кабинета за 30–60 дней.</t>
  </si>
  <si>
    <t xml:space="preserve">6. Серые столбцы считаются сами. Не вписывайте туда числа.</t>
  </si>
  <si>
    <t xml:space="preserve">7. Строка 5 — пример с выдуманными цифрами. Замените её своими данными или удалите.</t>
  </si>
  <si>
    <t xml:space="preserve">Ключевые формулы</t>
  </si>
  <si>
    <t xml:space="preserve">Логистика на проданную единицу = Логистика к покупателю ÷ %выкупа + Обратная логистика × (1 − %выкупа) ÷ %выкупа</t>
  </si>
  <si>
    <t xml:space="preserve">Прибыль на единицу = Цена − Себестоимость полная − Расходы площадки − Реклама − Налог</t>
  </si>
  <si>
    <t xml:space="preserve">Маржинальность = Прибыль ÷ Цена;  ROI = Прибыль ÷ Себестоимость полная</t>
  </si>
  <si>
    <t xml:space="preserve">Макс. стоимость заказа из рекламы (CPO) = прибыль на единицу до вычета рекламы</t>
  </si>
  <si>
    <t xml:space="preserve">Лист «Реклама»: вносите статистику кампании по дням — CTR, CPC, конверсия и ДРР посчитаются сами.</t>
  </si>
  <si>
    <t xml:space="preserve">Юнит-экономика по артикулам</t>
  </si>
  <si>
    <t xml:space="preserve">Жёлтые ячейки — ввод (синий текст). Серые — формулы. Пример в строке 5 — условные цифры.</t>
  </si>
  <si>
    <t xml:space="preserve">Артикул</t>
  </si>
  <si>
    <t xml:space="preserve">Площадка (WB/Ozon)</t>
  </si>
  <si>
    <t xml:space="preserve">Закупка за ед., ₽</t>
  </si>
  <si>
    <t xml:space="preserve">Доставка до склада МП за ед., ₽</t>
  </si>
  <si>
    <t xml:space="preserve">Упаковка и маркировка, ₽</t>
  </si>
  <si>
    <t xml:space="preserve">Цена продажи после скидок, ₽</t>
  </si>
  <si>
    <t xml:space="preserve">Комиссия площадки, %</t>
  </si>
  <si>
    <t xml:space="preserve">Логистика к покупателю, ₽</t>
  </si>
  <si>
    <t xml:space="preserve">Обратная логистика (возврат), ₽</t>
  </si>
  <si>
    <t xml:space="preserve">Выкуп, %</t>
  </si>
  <si>
    <t xml:space="preserve">Хранение на ед., ₽</t>
  </si>
  <si>
    <t xml:space="preserve">Эквайринг и прочие, % от цены</t>
  </si>
  <si>
    <t xml:space="preserve">Реклама (ДРР), %</t>
  </si>
  <si>
    <t xml:space="preserve">Налог, % от цены</t>
  </si>
  <si>
    <t xml:space="preserve">Себестоимость полная, ₽</t>
  </si>
  <si>
    <t xml:space="preserve">Комиссия, ₽</t>
  </si>
  <si>
    <t xml:space="preserve">Логистика на проданную ед., ₽</t>
  </si>
  <si>
    <t xml:space="preserve">Эквайринг и прочие, ₽</t>
  </si>
  <si>
    <t xml:space="preserve">Расходы площадки итого, ₽</t>
  </si>
  <si>
    <t xml:space="preserve">Реклама, ₽</t>
  </si>
  <si>
    <t xml:space="preserve">Налог, ₽</t>
  </si>
  <si>
    <t xml:space="preserve">Прибыль на ед., ₽</t>
  </si>
  <si>
    <t xml:space="preserve">Маржинальность, %</t>
  </si>
  <si>
    <t xml:space="preserve">ROI, %</t>
  </si>
  <si>
    <t xml:space="preserve">Макс. CPO, ₽</t>
  </si>
  <si>
    <t xml:space="preserve">SKU-001 (пример)</t>
  </si>
  <si>
    <t xml:space="preserve">WB</t>
  </si>
  <si>
    <t xml:space="preserve">Дневная статистика рекламной кампании</t>
  </si>
  <si>
    <t xml:space="preserve">Вводите данные из статистики кампании. Строка 5 — пример с условными цифрами.</t>
  </si>
  <si>
    <t xml:space="preserve">Дата</t>
  </si>
  <si>
    <t xml:space="preserve">Кампания</t>
  </si>
  <si>
    <t xml:space="preserve">Показы</t>
  </si>
  <si>
    <t xml:space="preserve">Клики</t>
  </si>
  <si>
    <t xml:space="preserve">Заказы</t>
  </si>
  <si>
    <t xml:space="preserve">Расход, ₽</t>
  </si>
  <si>
    <t xml:space="preserve">Сумма заказов, ₽</t>
  </si>
  <si>
    <t xml:space="preserve">CTR, %</t>
  </si>
  <si>
    <t xml:space="preserve">CPC, ₽</t>
  </si>
  <si>
    <t xml:space="preserve">CPM факт, ₽</t>
  </si>
  <si>
    <t xml:space="preserve">Конверсия клик→заказ, %</t>
  </si>
  <si>
    <t xml:space="preserve">CPO, ₽</t>
  </si>
  <si>
    <t xml:space="preserve">ДРР, %</t>
  </si>
  <si>
    <t xml:space="preserve">Поиск SKU-001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</si>
</sst>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.00"/>
    <numFmt numFmtId="167" formatCode="0.0%"/>
    <numFmt numFmtId="168" formatCode="#,##0.00;[RED]\-#,##0.00"/>
    <numFmt numFmtId="169" formatCode="0.0%;[RED]\-0.0%"/>
    <numFmt numFmtId="170" formatCode="dd\.mm\.yyyy"/>
    <numFmt numFmtId="171" formatCode="#,##0"/>
    <numFmt numFmtId="172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3A"/>
        <bgColor rgb="FF333300"/>
      </patternFill>
    </fill>
    <fill>
      <patternFill patternType="solid">
        <fgColor rgb="FFFFF2B3"/>
        <bgColor rgb="FFFFFF99"/>
      </patternFill>
    </fill>
    <fill>
      <patternFill patternType="solid">
        <fgColor rgb="FFEDEF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3"/>
      </left>
      <right style="thin">
        <color rgb="FFC8CCD3"/>
      </right>
      <top style="thin">
        <color rgb="FFC8CCD3"/>
      </top>
      <bottom style="thin">
        <color rgb="FFC8C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3"/>
      <rgbColor rgb="FF808080"/>
      <rgbColor rgb="FF9999FF"/>
      <rgbColor rgb="FF993366"/>
      <rgbColor rgb="FFFFF2B3"/>
      <rgbColor rgb="FFEDEF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5" min="3" style="0" width="15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57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  <c r="S4" s="5" t="s">
        <v>35</v>
      </c>
      <c r="T4" s="5" t="s">
        <v>36</v>
      </c>
      <c r="U4" s="5" t="s">
        <v>37</v>
      </c>
      <c r="V4" s="5" t="s">
        <v>38</v>
      </c>
      <c r="W4" s="5" t="s">
        <v>39</v>
      </c>
      <c r="X4" s="5" t="s">
        <v>40</v>
      </c>
      <c r="Y4" s="5" t="s">
        <v>41</v>
      </c>
    </row>
    <row r="5" customFormat="false" ht="15" hidden="false" customHeight="false" outlineLevel="0" collapsed="false">
      <c r="A5" s="6" t="s">
        <v>42</v>
      </c>
      <c r="B5" s="6" t="s">
        <v>43</v>
      </c>
      <c r="C5" s="7" t="n">
        <v>420</v>
      </c>
      <c r="D5" s="7" t="n">
        <v>35</v>
      </c>
      <c r="E5" s="7" t="n">
        <v>25</v>
      </c>
      <c r="F5" s="7" t="n">
        <v>1490</v>
      </c>
      <c r="G5" s="8" t="n">
        <v>0.245</v>
      </c>
      <c r="H5" s="7" t="n">
        <v>78</v>
      </c>
      <c r="I5" s="7" t="n">
        <v>50</v>
      </c>
      <c r="J5" s="8" t="n">
        <v>0.82</v>
      </c>
      <c r="K5" s="7" t="n">
        <v>6</v>
      </c>
      <c r="L5" s="8" t="n">
        <v>0.015</v>
      </c>
      <c r="M5" s="8" t="n">
        <v>0.1</v>
      </c>
      <c r="N5" s="8" t="n">
        <v>0.06</v>
      </c>
      <c r="O5" s="9" t="n">
        <f aca="false">C5+D5+E5</f>
        <v>480</v>
      </c>
      <c r="P5" s="9" t="n">
        <f aca="false">F5*G5</f>
        <v>365.05</v>
      </c>
      <c r="Q5" s="9" t="n">
        <f aca="false">IFERROR(H5/J5+I5*(1-J5)/J5,0)</f>
        <v>106.09756097561</v>
      </c>
      <c r="R5" s="9" t="n">
        <f aca="false">F5*L5</f>
        <v>22.35</v>
      </c>
      <c r="S5" s="9" t="n">
        <f aca="false">P5+Q5+K5+R5</f>
        <v>499.49756097561</v>
      </c>
      <c r="T5" s="9" t="n">
        <f aca="false">F5*M5</f>
        <v>149</v>
      </c>
      <c r="U5" s="9" t="n">
        <f aca="false">F5*N5</f>
        <v>89.4</v>
      </c>
      <c r="V5" s="10" t="n">
        <f aca="false">F5-O5-S5-T5-U5</f>
        <v>272.10243902439</v>
      </c>
      <c r="W5" s="11" t="n">
        <f aca="false">IFERROR(V5/F5,0)</f>
        <v>0.18261908659355</v>
      </c>
      <c r="X5" s="11" t="n">
        <f aca="false">IFERROR(V5/O5,0)</f>
        <v>0.566880081300813</v>
      </c>
      <c r="Y5" s="10" t="n">
        <f aca="false">V5+T5</f>
        <v>421.10243902439</v>
      </c>
    </row>
    <row r="6" customFormat="false" ht="15" hidden="false" customHeight="false" outlineLevel="0" collapsed="false">
      <c r="A6" s="6"/>
      <c r="B6" s="6"/>
      <c r="C6" s="7"/>
      <c r="D6" s="7"/>
      <c r="E6" s="7"/>
      <c r="F6" s="7"/>
      <c r="G6" s="8"/>
      <c r="H6" s="7"/>
      <c r="I6" s="7"/>
      <c r="J6" s="8"/>
      <c r="K6" s="7"/>
      <c r="L6" s="8"/>
      <c r="M6" s="8"/>
      <c r="N6" s="8"/>
      <c r="O6" s="9" t="str">
        <f aca="false">IF(F6="","",C6+D6+E6)</f>
        <v/>
      </c>
      <c r="P6" s="9" t="str">
        <f aca="false">IF(F6="","",F6*G6)</f>
        <v/>
      </c>
      <c r="Q6" s="9" t="str">
        <f aca="false">IF(F6="","",IFERROR(H6/J6+I6*(1-J6)/J6,0))</f>
        <v/>
      </c>
      <c r="R6" s="9" t="str">
        <f aca="false">IF(F6="","",F6*L6)</f>
        <v/>
      </c>
      <c r="S6" s="9" t="str">
        <f aca="false">IF(F6="","",P6+Q6+K6+R6)</f>
        <v/>
      </c>
      <c r="T6" s="9" t="str">
        <f aca="false">IF(F6="","",F6*M6)</f>
        <v/>
      </c>
      <c r="U6" s="9" t="str">
        <f aca="false">IF(F6="","",F6*N6)</f>
        <v/>
      </c>
      <c r="V6" s="10" t="str">
        <f aca="false">IF(F6="","",F6-O6-S6-T6-U6)</f>
        <v/>
      </c>
      <c r="W6" s="11" t="str">
        <f aca="false">IF(F6="","",IFERROR(V6/F6,0))</f>
        <v/>
      </c>
      <c r="X6" s="11" t="str">
        <f aca="false">IF(F6="","",IFERROR(V6/O6,0))</f>
        <v/>
      </c>
      <c r="Y6" s="10" t="str">
        <f aca="false">IF(F6="","",V6+T6)</f>
        <v/>
      </c>
    </row>
    <row r="7" customFormat="false" ht="15" hidden="false" customHeight="false" outlineLevel="0" collapsed="false">
      <c r="A7" s="6"/>
      <c r="B7" s="6"/>
      <c r="C7" s="7"/>
      <c r="D7" s="7"/>
      <c r="E7" s="7"/>
      <c r="F7" s="7"/>
      <c r="G7" s="8"/>
      <c r="H7" s="7"/>
      <c r="I7" s="7"/>
      <c r="J7" s="8"/>
      <c r="K7" s="7"/>
      <c r="L7" s="8"/>
      <c r="M7" s="8"/>
      <c r="N7" s="8"/>
      <c r="O7" s="9" t="str">
        <f aca="false">IF(F7="","",C7+D7+E7)</f>
        <v/>
      </c>
      <c r="P7" s="9" t="str">
        <f aca="false">IF(F7="","",F7*G7)</f>
        <v/>
      </c>
      <c r="Q7" s="9" t="str">
        <f aca="false">IF(F7="","",IFERROR(H7/J7+I7*(1-J7)/J7,0))</f>
        <v/>
      </c>
      <c r="R7" s="9" t="str">
        <f aca="false">IF(F7="","",F7*L7)</f>
        <v/>
      </c>
      <c r="S7" s="9" t="str">
        <f aca="false">IF(F7="","",P7+Q7+K7+R7)</f>
        <v/>
      </c>
      <c r="T7" s="9" t="str">
        <f aca="false">IF(F7="","",F7*M7)</f>
        <v/>
      </c>
      <c r="U7" s="9" t="str">
        <f aca="false">IF(F7="","",F7*N7)</f>
        <v/>
      </c>
      <c r="V7" s="10" t="str">
        <f aca="false">IF(F7="","",F7-O7-S7-T7-U7)</f>
        <v/>
      </c>
      <c r="W7" s="11" t="str">
        <f aca="false">IF(F7="","",IFERROR(V7/F7,0))</f>
        <v/>
      </c>
      <c r="X7" s="11" t="str">
        <f aca="false">IF(F7="","",IFERROR(V7/O7,0))</f>
        <v/>
      </c>
      <c r="Y7" s="10" t="str">
        <f aca="false">IF(F7="","",V7+T7)</f>
        <v/>
      </c>
    </row>
    <row r="8" customFormat="false" ht="15" hidden="false" customHeight="false" outlineLevel="0" collapsed="false">
      <c r="A8" s="6"/>
      <c r="B8" s="6"/>
      <c r="C8" s="7"/>
      <c r="D8" s="7"/>
      <c r="E8" s="7"/>
      <c r="F8" s="7"/>
      <c r="G8" s="8"/>
      <c r="H8" s="7"/>
      <c r="I8" s="7"/>
      <c r="J8" s="8"/>
      <c r="K8" s="7"/>
      <c r="L8" s="8"/>
      <c r="M8" s="8"/>
      <c r="N8" s="8"/>
      <c r="O8" s="9" t="str">
        <f aca="false">IF(F8="","",C8+D8+E8)</f>
        <v/>
      </c>
      <c r="P8" s="9" t="str">
        <f aca="false">IF(F8="","",F8*G8)</f>
        <v/>
      </c>
      <c r="Q8" s="9" t="str">
        <f aca="false">IF(F8="","",IFERROR(H8/J8+I8*(1-J8)/J8,0))</f>
        <v/>
      </c>
      <c r="R8" s="9" t="str">
        <f aca="false">IF(F8="","",F8*L8)</f>
        <v/>
      </c>
      <c r="S8" s="9" t="str">
        <f aca="false">IF(F8="","",P8+Q8+K8+R8)</f>
        <v/>
      </c>
      <c r="T8" s="9" t="str">
        <f aca="false">IF(F8="","",F8*M8)</f>
        <v/>
      </c>
      <c r="U8" s="9" t="str">
        <f aca="false">IF(F8="","",F8*N8)</f>
        <v/>
      </c>
      <c r="V8" s="10" t="str">
        <f aca="false">IF(F8="","",F8-O8-S8-T8-U8)</f>
        <v/>
      </c>
      <c r="W8" s="11" t="str">
        <f aca="false">IF(F8="","",IFERROR(V8/F8,0))</f>
        <v/>
      </c>
      <c r="X8" s="11" t="str">
        <f aca="false">IF(F8="","",IFERROR(V8/O8,0))</f>
        <v/>
      </c>
      <c r="Y8" s="10" t="str">
        <f aca="false">IF(F8="","",V8+T8)</f>
        <v/>
      </c>
    </row>
    <row r="9" customFormat="false" ht="15" hidden="false" customHeight="false" outlineLevel="0" collapsed="false">
      <c r="A9" s="6"/>
      <c r="B9" s="6"/>
      <c r="C9" s="7"/>
      <c r="D9" s="7"/>
      <c r="E9" s="7"/>
      <c r="F9" s="7"/>
      <c r="G9" s="8"/>
      <c r="H9" s="7"/>
      <c r="I9" s="7"/>
      <c r="J9" s="8"/>
      <c r="K9" s="7"/>
      <c r="L9" s="8"/>
      <c r="M9" s="8"/>
      <c r="N9" s="8"/>
      <c r="O9" s="9" t="str">
        <f aca="false">IF(F9="","",C9+D9+E9)</f>
        <v/>
      </c>
      <c r="P9" s="9" t="str">
        <f aca="false">IF(F9="","",F9*G9)</f>
        <v/>
      </c>
      <c r="Q9" s="9" t="str">
        <f aca="false">IF(F9="","",IFERROR(H9/J9+I9*(1-J9)/J9,0))</f>
        <v/>
      </c>
      <c r="R9" s="9" t="str">
        <f aca="false">IF(F9="","",F9*L9)</f>
        <v/>
      </c>
      <c r="S9" s="9" t="str">
        <f aca="false">IF(F9="","",P9+Q9+K9+R9)</f>
        <v/>
      </c>
      <c r="T9" s="9" t="str">
        <f aca="false">IF(F9="","",F9*M9)</f>
        <v/>
      </c>
      <c r="U9" s="9" t="str">
        <f aca="false">IF(F9="","",F9*N9)</f>
        <v/>
      </c>
      <c r="V9" s="10" t="str">
        <f aca="false">IF(F9="","",F9-O9-S9-T9-U9)</f>
        <v/>
      </c>
      <c r="W9" s="11" t="str">
        <f aca="false">IF(F9="","",IFERROR(V9/F9,0))</f>
        <v/>
      </c>
      <c r="X9" s="11" t="str">
        <f aca="false">IF(F9="","",IFERROR(V9/O9,0))</f>
        <v/>
      </c>
      <c r="Y9" s="10" t="str">
        <f aca="false">IF(F9="","",V9+T9)</f>
        <v/>
      </c>
    </row>
    <row r="10" customFormat="false" ht="15" hidden="false" customHeight="false" outlineLevel="0" collapsed="false">
      <c r="A10" s="6"/>
      <c r="B10" s="6"/>
      <c r="C10" s="7"/>
      <c r="D10" s="7"/>
      <c r="E10" s="7"/>
      <c r="F10" s="7"/>
      <c r="G10" s="8"/>
      <c r="H10" s="7"/>
      <c r="I10" s="7"/>
      <c r="J10" s="8"/>
      <c r="K10" s="7"/>
      <c r="L10" s="8"/>
      <c r="M10" s="8"/>
      <c r="N10" s="8"/>
      <c r="O10" s="9" t="str">
        <f aca="false">IF(F10="","",C10+D10+E10)</f>
        <v/>
      </c>
      <c r="P10" s="9" t="str">
        <f aca="false">IF(F10="","",F10*G10)</f>
        <v/>
      </c>
      <c r="Q10" s="9" t="str">
        <f aca="false">IF(F10="","",IFERROR(H10/J10+I10*(1-J10)/J10,0))</f>
        <v/>
      </c>
      <c r="R10" s="9" t="str">
        <f aca="false">IF(F10="","",F10*L10)</f>
        <v/>
      </c>
      <c r="S10" s="9" t="str">
        <f aca="false">IF(F10="","",P10+Q10+K10+R10)</f>
        <v/>
      </c>
      <c r="T10" s="9" t="str">
        <f aca="false">IF(F10="","",F10*M10)</f>
        <v/>
      </c>
      <c r="U10" s="9" t="str">
        <f aca="false">IF(F10="","",F10*N10)</f>
        <v/>
      </c>
      <c r="V10" s="10" t="str">
        <f aca="false">IF(F10="","",F10-O10-S10-T10-U10)</f>
        <v/>
      </c>
      <c r="W10" s="11" t="str">
        <f aca="false">IF(F10="","",IFERROR(V10/F10,0))</f>
        <v/>
      </c>
      <c r="X10" s="11" t="str">
        <f aca="false">IF(F10="","",IFERROR(V10/O10,0))</f>
        <v/>
      </c>
      <c r="Y10" s="10" t="str">
        <f aca="false">IF(F10="","",V10+T10)</f>
        <v/>
      </c>
    </row>
    <row r="11" customFormat="false" ht="15" hidden="false" customHeight="false" outlineLevel="0" collapsed="false">
      <c r="A11" s="6"/>
      <c r="B11" s="6"/>
      <c r="C11" s="7"/>
      <c r="D11" s="7"/>
      <c r="E11" s="7"/>
      <c r="F11" s="7"/>
      <c r="G11" s="8"/>
      <c r="H11" s="7"/>
      <c r="I11" s="7"/>
      <c r="J11" s="8"/>
      <c r="K11" s="7"/>
      <c r="L11" s="8"/>
      <c r="M11" s="8"/>
      <c r="N11" s="8"/>
      <c r="O11" s="9" t="str">
        <f aca="false">IF(F11="","",C11+D11+E11)</f>
        <v/>
      </c>
      <c r="P11" s="9" t="str">
        <f aca="false">IF(F11="","",F11*G11)</f>
        <v/>
      </c>
      <c r="Q11" s="9" t="str">
        <f aca="false">IF(F11="","",IFERROR(H11/J11+I11*(1-J11)/J11,0))</f>
        <v/>
      </c>
      <c r="R11" s="9" t="str">
        <f aca="false">IF(F11="","",F11*L11)</f>
        <v/>
      </c>
      <c r="S11" s="9" t="str">
        <f aca="false">IF(F11="","",P11+Q11+K11+R11)</f>
        <v/>
      </c>
      <c r="T11" s="9" t="str">
        <f aca="false">IF(F11="","",F11*M11)</f>
        <v/>
      </c>
      <c r="U11" s="9" t="str">
        <f aca="false">IF(F11="","",F11*N11)</f>
        <v/>
      </c>
      <c r="V11" s="10" t="str">
        <f aca="false">IF(F11="","",F11-O11-S11-T11-U11)</f>
        <v/>
      </c>
      <c r="W11" s="11" t="str">
        <f aca="false">IF(F11="","",IFERROR(V11/F11,0))</f>
        <v/>
      </c>
      <c r="X11" s="11" t="str">
        <f aca="false">IF(F11="","",IFERROR(V11/O11,0))</f>
        <v/>
      </c>
      <c r="Y11" s="10" t="str">
        <f aca="false">IF(F11="","",V11+T11)</f>
        <v/>
      </c>
    </row>
    <row r="12" customFormat="false" ht="15" hidden="false" customHeight="false" outlineLevel="0" collapsed="false">
      <c r="A12" s="6"/>
      <c r="B12" s="6"/>
      <c r="C12" s="7"/>
      <c r="D12" s="7"/>
      <c r="E12" s="7"/>
      <c r="F12" s="7"/>
      <c r="G12" s="8"/>
      <c r="H12" s="7"/>
      <c r="I12" s="7"/>
      <c r="J12" s="8"/>
      <c r="K12" s="7"/>
      <c r="L12" s="8"/>
      <c r="M12" s="8"/>
      <c r="N12" s="8"/>
      <c r="O12" s="9" t="str">
        <f aca="false">IF(F12="","",C12+D12+E12)</f>
        <v/>
      </c>
      <c r="P12" s="9" t="str">
        <f aca="false">IF(F12="","",F12*G12)</f>
        <v/>
      </c>
      <c r="Q12" s="9" t="str">
        <f aca="false">IF(F12="","",IFERROR(H12/J12+I12*(1-J12)/J12,0))</f>
        <v/>
      </c>
      <c r="R12" s="9" t="str">
        <f aca="false">IF(F12="","",F12*L12)</f>
        <v/>
      </c>
      <c r="S12" s="9" t="str">
        <f aca="false">IF(F12="","",P12+Q12+K12+R12)</f>
        <v/>
      </c>
      <c r="T12" s="9" t="str">
        <f aca="false">IF(F12="","",F12*M12)</f>
        <v/>
      </c>
      <c r="U12" s="9" t="str">
        <f aca="false">IF(F12="","",F12*N12)</f>
        <v/>
      </c>
      <c r="V12" s="10" t="str">
        <f aca="false">IF(F12="","",F12-O12-S12-T12-U12)</f>
        <v/>
      </c>
      <c r="W12" s="11" t="str">
        <f aca="false">IF(F12="","",IFERROR(V12/F12,0))</f>
        <v/>
      </c>
      <c r="X12" s="11" t="str">
        <f aca="false">IF(F12="","",IFERROR(V12/O12,0))</f>
        <v/>
      </c>
      <c r="Y12" s="10" t="str">
        <f aca="false">IF(F12="","",V12+T12)</f>
        <v/>
      </c>
    </row>
    <row r="13" customFormat="false" ht="15" hidden="false" customHeight="false" outlineLevel="0" collapsed="false">
      <c r="A13" s="6"/>
      <c r="B13" s="6"/>
      <c r="C13" s="7"/>
      <c r="D13" s="7"/>
      <c r="E13" s="7"/>
      <c r="F13" s="7"/>
      <c r="G13" s="8"/>
      <c r="H13" s="7"/>
      <c r="I13" s="7"/>
      <c r="J13" s="8"/>
      <c r="K13" s="7"/>
      <c r="L13" s="8"/>
      <c r="M13" s="8"/>
      <c r="N13" s="8"/>
      <c r="O13" s="9" t="str">
        <f aca="false">IF(F13="","",C13+D13+E13)</f>
        <v/>
      </c>
      <c r="P13" s="9" t="str">
        <f aca="false">IF(F13="","",F13*G13)</f>
        <v/>
      </c>
      <c r="Q13" s="9" t="str">
        <f aca="false">IF(F13="","",IFERROR(H13/J13+I13*(1-J13)/J13,0))</f>
        <v/>
      </c>
      <c r="R13" s="9" t="str">
        <f aca="false">IF(F13="","",F13*L13)</f>
        <v/>
      </c>
      <c r="S13" s="9" t="str">
        <f aca="false">IF(F13="","",P13+Q13+K13+R13)</f>
        <v/>
      </c>
      <c r="T13" s="9" t="str">
        <f aca="false">IF(F13="","",F13*M13)</f>
        <v/>
      </c>
      <c r="U13" s="9" t="str">
        <f aca="false">IF(F13="","",F13*N13)</f>
        <v/>
      </c>
      <c r="V13" s="10" t="str">
        <f aca="false">IF(F13="","",F13-O13-S13-T13-U13)</f>
        <v/>
      </c>
      <c r="W13" s="11" t="str">
        <f aca="false">IF(F13="","",IFERROR(V13/F13,0))</f>
        <v/>
      </c>
      <c r="X13" s="11" t="str">
        <f aca="false">IF(F13="","",IFERROR(V13/O13,0))</f>
        <v/>
      </c>
      <c r="Y13" s="10" t="str">
        <f aca="false">IF(F13="","",V13+T13)</f>
        <v/>
      </c>
    </row>
    <row r="14" customFormat="false" ht="15" hidden="false" customHeight="false" outlineLevel="0" collapsed="false">
      <c r="A14" s="6"/>
      <c r="B14" s="6"/>
      <c r="C14" s="7"/>
      <c r="D14" s="7"/>
      <c r="E14" s="7"/>
      <c r="F14" s="7"/>
      <c r="G14" s="8"/>
      <c r="H14" s="7"/>
      <c r="I14" s="7"/>
      <c r="J14" s="8"/>
      <c r="K14" s="7"/>
      <c r="L14" s="8"/>
      <c r="M14" s="8"/>
      <c r="N14" s="8"/>
      <c r="O14" s="9" t="str">
        <f aca="false">IF(F14="","",C14+D14+E14)</f>
        <v/>
      </c>
      <c r="P14" s="9" t="str">
        <f aca="false">IF(F14="","",F14*G14)</f>
        <v/>
      </c>
      <c r="Q14" s="9" t="str">
        <f aca="false">IF(F14="","",IFERROR(H14/J14+I14*(1-J14)/J14,0))</f>
        <v/>
      </c>
      <c r="R14" s="9" t="str">
        <f aca="false">IF(F14="","",F14*L14)</f>
        <v/>
      </c>
      <c r="S14" s="9" t="str">
        <f aca="false">IF(F14="","",P14+Q14+K14+R14)</f>
        <v/>
      </c>
      <c r="T14" s="9" t="str">
        <f aca="false">IF(F14="","",F14*M14)</f>
        <v/>
      </c>
      <c r="U14" s="9" t="str">
        <f aca="false">IF(F14="","",F14*N14)</f>
        <v/>
      </c>
      <c r="V14" s="10" t="str">
        <f aca="false">IF(F14="","",F14-O14-S14-T14-U14)</f>
        <v/>
      </c>
      <c r="W14" s="11" t="str">
        <f aca="false">IF(F14="","",IFERROR(V14/F14,0))</f>
        <v/>
      </c>
      <c r="X14" s="11" t="str">
        <f aca="false">IF(F14="","",IFERROR(V14/O14,0))</f>
        <v/>
      </c>
      <c r="Y14" s="10" t="str">
        <f aca="false">IF(F14="","",V14+T14)</f>
        <v/>
      </c>
    </row>
    <row r="15" customFormat="false" ht="15" hidden="false" customHeight="false" outlineLevel="0" collapsed="false">
      <c r="A15" s="6"/>
      <c r="B15" s="6"/>
      <c r="C15" s="7"/>
      <c r="D15" s="7"/>
      <c r="E15" s="7"/>
      <c r="F15" s="7"/>
      <c r="G15" s="8"/>
      <c r="H15" s="7"/>
      <c r="I15" s="7"/>
      <c r="J15" s="8"/>
      <c r="K15" s="7"/>
      <c r="L15" s="8"/>
      <c r="M15" s="8"/>
      <c r="N15" s="8"/>
      <c r="O15" s="9" t="str">
        <f aca="false">IF(F15="","",C15+D15+E15)</f>
        <v/>
      </c>
      <c r="P15" s="9" t="str">
        <f aca="false">IF(F15="","",F15*G15)</f>
        <v/>
      </c>
      <c r="Q15" s="9" t="str">
        <f aca="false">IF(F15="","",IFERROR(H15/J15+I15*(1-J15)/J15,0))</f>
        <v/>
      </c>
      <c r="R15" s="9" t="str">
        <f aca="false">IF(F15="","",F15*L15)</f>
        <v/>
      </c>
      <c r="S15" s="9" t="str">
        <f aca="false">IF(F15="","",P15+Q15+K15+R15)</f>
        <v/>
      </c>
      <c r="T15" s="9" t="str">
        <f aca="false">IF(F15="","",F15*M15)</f>
        <v/>
      </c>
      <c r="U15" s="9" t="str">
        <f aca="false">IF(F15="","",F15*N15)</f>
        <v/>
      </c>
      <c r="V15" s="10" t="str">
        <f aca="false">IF(F15="","",F15-O15-S15-T15-U15)</f>
        <v/>
      </c>
      <c r="W15" s="11" t="str">
        <f aca="false">IF(F15="","",IFERROR(V15/F15,0))</f>
        <v/>
      </c>
      <c r="X15" s="11" t="str">
        <f aca="false">IF(F15="","",IFERROR(V15/O15,0))</f>
        <v/>
      </c>
      <c r="Y15" s="10" t="str">
        <f aca="false">IF(F15="","",V15+T15)</f>
        <v/>
      </c>
    </row>
    <row r="16" customFormat="false" ht="15" hidden="false" customHeight="false" outlineLevel="0" collapsed="false">
      <c r="A16" s="6"/>
      <c r="B16" s="6"/>
      <c r="C16" s="7"/>
      <c r="D16" s="7"/>
      <c r="E16" s="7"/>
      <c r="F16" s="7"/>
      <c r="G16" s="8"/>
      <c r="H16" s="7"/>
      <c r="I16" s="7"/>
      <c r="J16" s="8"/>
      <c r="K16" s="7"/>
      <c r="L16" s="8"/>
      <c r="M16" s="8"/>
      <c r="N16" s="8"/>
      <c r="O16" s="9" t="str">
        <f aca="false">IF(F16="","",C16+D16+E16)</f>
        <v/>
      </c>
      <c r="P16" s="9" t="str">
        <f aca="false">IF(F16="","",F16*G16)</f>
        <v/>
      </c>
      <c r="Q16" s="9" t="str">
        <f aca="false">IF(F16="","",IFERROR(H16/J16+I16*(1-J16)/J16,0))</f>
        <v/>
      </c>
      <c r="R16" s="9" t="str">
        <f aca="false">IF(F16="","",F16*L16)</f>
        <v/>
      </c>
      <c r="S16" s="9" t="str">
        <f aca="false">IF(F16="","",P16+Q16+K16+R16)</f>
        <v/>
      </c>
      <c r="T16" s="9" t="str">
        <f aca="false">IF(F16="","",F16*M16)</f>
        <v/>
      </c>
      <c r="U16" s="9" t="str">
        <f aca="false">IF(F16="","",F16*N16)</f>
        <v/>
      </c>
      <c r="V16" s="10" t="str">
        <f aca="false">IF(F16="","",F16-O16-S16-T16-U16)</f>
        <v/>
      </c>
      <c r="W16" s="11" t="str">
        <f aca="false">IF(F16="","",IFERROR(V16/F16,0))</f>
        <v/>
      </c>
      <c r="X16" s="11" t="str">
        <f aca="false">IF(F16="","",IFERROR(V16/O16,0))</f>
        <v/>
      </c>
      <c r="Y16" s="10" t="str">
        <f aca="false">IF(F16="","",V16+T16)</f>
        <v/>
      </c>
    </row>
    <row r="17" customFormat="false" ht="15" hidden="false" customHeight="false" outlineLevel="0" collapsed="false">
      <c r="A17" s="6"/>
      <c r="B17" s="6"/>
      <c r="C17" s="7"/>
      <c r="D17" s="7"/>
      <c r="E17" s="7"/>
      <c r="F17" s="7"/>
      <c r="G17" s="8"/>
      <c r="H17" s="7"/>
      <c r="I17" s="7"/>
      <c r="J17" s="8"/>
      <c r="K17" s="7"/>
      <c r="L17" s="8"/>
      <c r="M17" s="8"/>
      <c r="N17" s="8"/>
      <c r="O17" s="9" t="str">
        <f aca="false">IF(F17="","",C17+D17+E17)</f>
        <v/>
      </c>
      <c r="P17" s="9" t="str">
        <f aca="false">IF(F17="","",F17*G17)</f>
        <v/>
      </c>
      <c r="Q17" s="9" t="str">
        <f aca="false">IF(F17="","",IFERROR(H17/J17+I17*(1-J17)/J17,0))</f>
        <v/>
      </c>
      <c r="R17" s="9" t="str">
        <f aca="false">IF(F17="","",F17*L17)</f>
        <v/>
      </c>
      <c r="S17" s="9" t="str">
        <f aca="false">IF(F17="","",P17+Q17+K17+R17)</f>
        <v/>
      </c>
      <c r="T17" s="9" t="str">
        <f aca="false">IF(F17="","",F17*M17)</f>
        <v/>
      </c>
      <c r="U17" s="9" t="str">
        <f aca="false">IF(F17="","",F17*N17)</f>
        <v/>
      </c>
      <c r="V17" s="10" t="str">
        <f aca="false">IF(F17="","",F17-O17-S17-T17-U17)</f>
        <v/>
      </c>
      <c r="W17" s="11" t="str">
        <f aca="false">IF(F17="","",IFERROR(V17/F17,0))</f>
        <v/>
      </c>
      <c r="X17" s="11" t="str">
        <f aca="false">IF(F17="","",IFERROR(V17/O17,0))</f>
        <v/>
      </c>
      <c r="Y17" s="10" t="str">
        <f aca="false">IF(F17="","",V17+T17)</f>
        <v/>
      </c>
    </row>
    <row r="18" customFormat="false" ht="15" hidden="false" customHeight="false" outlineLevel="0" collapsed="false">
      <c r="A18" s="6"/>
      <c r="B18" s="6"/>
      <c r="C18" s="7"/>
      <c r="D18" s="7"/>
      <c r="E18" s="7"/>
      <c r="F18" s="7"/>
      <c r="G18" s="8"/>
      <c r="H18" s="7"/>
      <c r="I18" s="7"/>
      <c r="J18" s="8"/>
      <c r="K18" s="7"/>
      <c r="L18" s="8"/>
      <c r="M18" s="8"/>
      <c r="N18" s="8"/>
      <c r="O18" s="9" t="str">
        <f aca="false">IF(F18="","",C18+D18+E18)</f>
        <v/>
      </c>
      <c r="P18" s="9" t="str">
        <f aca="false">IF(F18="","",F18*G18)</f>
        <v/>
      </c>
      <c r="Q18" s="9" t="str">
        <f aca="false">IF(F18="","",IFERROR(H18/J18+I18*(1-J18)/J18,0))</f>
        <v/>
      </c>
      <c r="R18" s="9" t="str">
        <f aca="false">IF(F18="","",F18*L18)</f>
        <v/>
      </c>
      <c r="S18" s="9" t="str">
        <f aca="false">IF(F18="","",P18+Q18+K18+R18)</f>
        <v/>
      </c>
      <c r="T18" s="9" t="str">
        <f aca="false">IF(F18="","",F18*M18)</f>
        <v/>
      </c>
      <c r="U18" s="9" t="str">
        <f aca="false">IF(F18="","",F18*N18)</f>
        <v/>
      </c>
      <c r="V18" s="10" t="str">
        <f aca="false">IF(F18="","",F18-O18-S18-T18-U18)</f>
        <v/>
      </c>
      <c r="W18" s="11" t="str">
        <f aca="false">IF(F18="","",IFERROR(V18/F18,0))</f>
        <v/>
      </c>
      <c r="X18" s="11" t="str">
        <f aca="false">IF(F18="","",IFERROR(V18/O18,0))</f>
        <v/>
      </c>
      <c r="Y18" s="10" t="str">
        <f aca="false">IF(F18="","",V18+T18)</f>
        <v/>
      </c>
    </row>
    <row r="19" customFormat="false" ht="15" hidden="false" customHeight="false" outlineLevel="0" collapsed="false">
      <c r="A19" s="6"/>
      <c r="B19" s="6"/>
      <c r="C19" s="7"/>
      <c r="D19" s="7"/>
      <c r="E19" s="7"/>
      <c r="F19" s="7"/>
      <c r="G19" s="8"/>
      <c r="H19" s="7"/>
      <c r="I19" s="7"/>
      <c r="J19" s="8"/>
      <c r="K19" s="7"/>
      <c r="L19" s="8"/>
      <c r="M19" s="8"/>
      <c r="N19" s="8"/>
      <c r="O19" s="9" t="str">
        <f aca="false">IF(F19="","",C19+D19+E19)</f>
        <v/>
      </c>
      <c r="P19" s="9" t="str">
        <f aca="false">IF(F19="","",F19*G19)</f>
        <v/>
      </c>
      <c r="Q19" s="9" t="str">
        <f aca="false">IF(F19="","",IFERROR(H19/J19+I19*(1-J19)/J19,0))</f>
        <v/>
      </c>
      <c r="R19" s="9" t="str">
        <f aca="false">IF(F19="","",F19*L19)</f>
        <v/>
      </c>
      <c r="S19" s="9" t="str">
        <f aca="false">IF(F19="","",P19+Q19+K19+R19)</f>
        <v/>
      </c>
      <c r="T19" s="9" t="str">
        <f aca="false">IF(F19="","",F19*M19)</f>
        <v/>
      </c>
      <c r="U19" s="9" t="str">
        <f aca="false">IF(F19="","",F19*N19)</f>
        <v/>
      </c>
      <c r="V19" s="10" t="str">
        <f aca="false">IF(F19="","",F19-O19-S19-T19-U19)</f>
        <v/>
      </c>
      <c r="W19" s="11" t="str">
        <f aca="false">IF(F19="","",IFERROR(V19/F19,0))</f>
        <v/>
      </c>
      <c r="X19" s="11" t="str">
        <f aca="false">IF(F19="","",IFERROR(V19/O19,0))</f>
        <v/>
      </c>
      <c r="Y19" s="10" t="str">
        <f aca="false">IF(F19="","",V19+T19)</f>
        <v/>
      </c>
    </row>
    <row r="20" customFormat="false" ht="15" hidden="false" customHeight="false" outlineLevel="0" collapsed="false">
      <c r="A20" s="6"/>
      <c r="B20" s="6"/>
      <c r="C20" s="7"/>
      <c r="D20" s="7"/>
      <c r="E20" s="7"/>
      <c r="F20" s="7"/>
      <c r="G20" s="8"/>
      <c r="H20" s="7"/>
      <c r="I20" s="7"/>
      <c r="J20" s="8"/>
      <c r="K20" s="7"/>
      <c r="L20" s="8"/>
      <c r="M20" s="8"/>
      <c r="N20" s="8"/>
      <c r="O20" s="9" t="str">
        <f aca="false">IF(F20="","",C20+D20+E20)</f>
        <v/>
      </c>
      <c r="P20" s="9" t="str">
        <f aca="false">IF(F20="","",F20*G20)</f>
        <v/>
      </c>
      <c r="Q20" s="9" t="str">
        <f aca="false">IF(F20="","",IFERROR(H20/J20+I20*(1-J20)/J20,0))</f>
        <v/>
      </c>
      <c r="R20" s="9" t="str">
        <f aca="false">IF(F20="","",F20*L20)</f>
        <v/>
      </c>
      <c r="S20" s="9" t="str">
        <f aca="false">IF(F20="","",P20+Q20+K20+R20)</f>
        <v/>
      </c>
      <c r="T20" s="9" t="str">
        <f aca="false">IF(F20="","",F20*M20)</f>
        <v/>
      </c>
      <c r="U20" s="9" t="str">
        <f aca="false">IF(F20="","",F20*N20)</f>
        <v/>
      </c>
      <c r="V20" s="10" t="str">
        <f aca="false">IF(F20="","",F20-O20-S20-T20-U20)</f>
        <v/>
      </c>
      <c r="W20" s="11" t="str">
        <f aca="false">IF(F20="","",IFERROR(V20/F20,0))</f>
        <v/>
      </c>
      <c r="X20" s="11" t="str">
        <f aca="false">IF(F20="","",IFERROR(V20/O20,0))</f>
        <v/>
      </c>
      <c r="Y20" s="10" t="str">
        <f aca="false">IF(F20="","",V20+T20)</f>
        <v/>
      </c>
    </row>
    <row r="21" customFormat="false" ht="15" hidden="false" customHeight="false" outlineLevel="0" collapsed="false">
      <c r="A21" s="6"/>
      <c r="B21" s="6"/>
      <c r="C21" s="7"/>
      <c r="D21" s="7"/>
      <c r="E21" s="7"/>
      <c r="F21" s="7"/>
      <c r="G21" s="8"/>
      <c r="H21" s="7"/>
      <c r="I21" s="7"/>
      <c r="J21" s="8"/>
      <c r="K21" s="7"/>
      <c r="L21" s="8"/>
      <c r="M21" s="8"/>
      <c r="N21" s="8"/>
      <c r="O21" s="9" t="str">
        <f aca="false">IF(F21="","",C21+D21+E21)</f>
        <v/>
      </c>
      <c r="P21" s="9" t="str">
        <f aca="false">IF(F21="","",F21*G21)</f>
        <v/>
      </c>
      <c r="Q21" s="9" t="str">
        <f aca="false">IF(F21="","",IFERROR(H21/J21+I21*(1-J21)/J21,0))</f>
        <v/>
      </c>
      <c r="R21" s="9" t="str">
        <f aca="false">IF(F21="","",F21*L21)</f>
        <v/>
      </c>
      <c r="S21" s="9" t="str">
        <f aca="false">IF(F21="","",P21+Q21+K21+R21)</f>
        <v/>
      </c>
      <c r="T21" s="9" t="str">
        <f aca="false">IF(F21="","",F21*M21)</f>
        <v/>
      </c>
      <c r="U21" s="9" t="str">
        <f aca="false">IF(F21="","",F21*N21)</f>
        <v/>
      </c>
      <c r="V21" s="10" t="str">
        <f aca="false">IF(F21="","",F21-O21-S21-T21-U21)</f>
        <v/>
      </c>
      <c r="W21" s="11" t="str">
        <f aca="false">IF(F21="","",IFERROR(V21/F21,0))</f>
        <v/>
      </c>
      <c r="X21" s="11" t="str">
        <f aca="false">IF(F21="","",IFERROR(V21/O21,0))</f>
        <v/>
      </c>
      <c r="Y21" s="10" t="str">
        <f aca="false">IF(F21="","",V21+T21)</f>
        <v/>
      </c>
    </row>
    <row r="22" customFormat="false" ht="15" hidden="false" customHeight="false" outlineLevel="0" collapsed="false">
      <c r="A22" s="6"/>
      <c r="B22" s="6"/>
      <c r="C22" s="7"/>
      <c r="D22" s="7"/>
      <c r="E22" s="7"/>
      <c r="F22" s="7"/>
      <c r="G22" s="8"/>
      <c r="H22" s="7"/>
      <c r="I22" s="7"/>
      <c r="J22" s="8"/>
      <c r="K22" s="7"/>
      <c r="L22" s="8"/>
      <c r="M22" s="8"/>
      <c r="N22" s="8"/>
      <c r="O22" s="9" t="str">
        <f aca="false">IF(F22="","",C22+D22+E22)</f>
        <v/>
      </c>
      <c r="P22" s="9" t="str">
        <f aca="false">IF(F22="","",F22*G22)</f>
        <v/>
      </c>
      <c r="Q22" s="9" t="str">
        <f aca="false">IF(F22="","",IFERROR(H22/J22+I22*(1-J22)/J22,0))</f>
        <v/>
      </c>
      <c r="R22" s="9" t="str">
        <f aca="false">IF(F22="","",F22*L22)</f>
        <v/>
      </c>
      <c r="S22" s="9" t="str">
        <f aca="false">IF(F22="","",P22+Q22+K22+R22)</f>
        <v/>
      </c>
      <c r="T22" s="9" t="str">
        <f aca="false">IF(F22="","",F22*M22)</f>
        <v/>
      </c>
      <c r="U22" s="9" t="str">
        <f aca="false">IF(F22="","",F22*N22)</f>
        <v/>
      </c>
      <c r="V22" s="10" t="str">
        <f aca="false">IF(F22="","",F22-O22-S22-T22-U22)</f>
        <v/>
      </c>
      <c r="W22" s="11" t="str">
        <f aca="false">IF(F22="","",IFERROR(V22/F22,0))</f>
        <v/>
      </c>
      <c r="X22" s="11" t="str">
        <f aca="false">IF(F22="","",IFERROR(V22/O22,0))</f>
        <v/>
      </c>
      <c r="Y22" s="10" t="str">
        <f aca="false">IF(F22="","",V22+T22)</f>
        <v/>
      </c>
    </row>
    <row r="23" customFormat="false" ht="15" hidden="false" customHeight="false" outlineLevel="0" collapsed="false">
      <c r="A23" s="6"/>
      <c r="B23" s="6"/>
      <c r="C23" s="7"/>
      <c r="D23" s="7"/>
      <c r="E23" s="7"/>
      <c r="F23" s="7"/>
      <c r="G23" s="8"/>
      <c r="H23" s="7"/>
      <c r="I23" s="7"/>
      <c r="J23" s="8"/>
      <c r="K23" s="7"/>
      <c r="L23" s="8"/>
      <c r="M23" s="8"/>
      <c r="N23" s="8"/>
      <c r="O23" s="9" t="str">
        <f aca="false">IF(F23="","",C23+D23+E23)</f>
        <v/>
      </c>
      <c r="P23" s="9" t="str">
        <f aca="false">IF(F23="","",F23*G23)</f>
        <v/>
      </c>
      <c r="Q23" s="9" t="str">
        <f aca="false">IF(F23="","",IFERROR(H23/J23+I23*(1-J23)/J23,0))</f>
        <v/>
      </c>
      <c r="R23" s="9" t="str">
        <f aca="false">IF(F23="","",F23*L23)</f>
        <v/>
      </c>
      <c r="S23" s="9" t="str">
        <f aca="false">IF(F23="","",P23+Q23+K23+R23)</f>
        <v/>
      </c>
      <c r="T23" s="9" t="str">
        <f aca="false">IF(F23="","",F23*M23)</f>
        <v/>
      </c>
      <c r="U23" s="9" t="str">
        <f aca="false">IF(F23="","",F23*N23)</f>
        <v/>
      </c>
      <c r="V23" s="10" t="str">
        <f aca="false">IF(F23="","",F23-O23-S23-T23-U23)</f>
        <v/>
      </c>
      <c r="W23" s="11" t="str">
        <f aca="false">IF(F23="","",IFERROR(V23/F23,0))</f>
        <v/>
      </c>
      <c r="X23" s="11" t="str">
        <f aca="false">IF(F23="","",IFERROR(V23/O23,0))</f>
        <v/>
      </c>
      <c r="Y23" s="10" t="str">
        <f aca="false">IF(F23="","",V23+T23)</f>
        <v/>
      </c>
    </row>
    <row r="24" customFormat="false" ht="15" hidden="false" customHeight="false" outlineLevel="0" collapsed="false">
      <c r="A24" s="6"/>
      <c r="B24" s="6"/>
      <c r="C24" s="7"/>
      <c r="D24" s="7"/>
      <c r="E24" s="7"/>
      <c r="F24" s="7"/>
      <c r="G24" s="8"/>
      <c r="H24" s="7"/>
      <c r="I24" s="7"/>
      <c r="J24" s="8"/>
      <c r="K24" s="7"/>
      <c r="L24" s="8"/>
      <c r="M24" s="8"/>
      <c r="N24" s="8"/>
      <c r="O24" s="9" t="str">
        <f aca="false">IF(F24="","",C24+D24+E24)</f>
        <v/>
      </c>
      <c r="P24" s="9" t="str">
        <f aca="false">IF(F24="","",F24*G24)</f>
        <v/>
      </c>
      <c r="Q24" s="9" t="str">
        <f aca="false">IF(F24="","",IFERROR(H24/J24+I24*(1-J24)/J24,0))</f>
        <v/>
      </c>
      <c r="R24" s="9" t="str">
        <f aca="false">IF(F24="","",F24*L24)</f>
        <v/>
      </c>
      <c r="S24" s="9" t="str">
        <f aca="false">IF(F24="","",P24+Q24+K24+R24)</f>
        <v/>
      </c>
      <c r="T24" s="9" t="str">
        <f aca="false">IF(F24="","",F24*M24)</f>
        <v/>
      </c>
      <c r="U24" s="9" t="str">
        <f aca="false">IF(F24="","",F24*N24)</f>
        <v/>
      </c>
      <c r="V24" s="10" t="str">
        <f aca="false">IF(F24="","",F24-O24-S24-T24-U24)</f>
        <v/>
      </c>
      <c r="W24" s="11" t="str">
        <f aca="false">IF(F24="","",IFERROR(V24/F24,0))</f>
        <v/>
      </c>
      <c r="X24" s="11" t="str">
        <f aca="false">IF(F24="","",IFERROR(V24/O24,0))</f>
        <v/>
      </c>
      <c r="Y24" s="10" t="str">
        <f aca="false">IF(F24="","",V24+T24)</f>
        <v/>
      </c>
    </row>
    <row r="25" customFormat="false" ht="15" hidden="false" customHeight="false" outlineLevel="0" collapsed="false">
      <c r="A25" s="6"/>
      <c r="B25" s="6"/>
      <c r="C25" s="7"/>
      <c r="D25" s="7"/>
      <c r="E25" s="7"/>
      <c r="F25" s="7"/>
      <c r="G25" s="8"/>
      <c r="H25" s="7"/>
      <c r="I25" s="7"/>
      <c r="J25" s="8"/>
      <c r="K25" s="7"/>
      <c r="L25" s="8"/>
      <c r="M25" s="8"/>
      <c r="N25" s="8"/>
      <c r="O25" s="9" t="str">
        <f aca="false">IF(F25="","",C25+D25+E25)</f>
        <v/>
      </c>
      <c r="P25" s="9" t="str">
        <f aca="false">IF(F25="","",F25*G25)</f>
        <v/>
      </c>
      <c r="Q25" s="9" t="str">
        <f aca="false">IF(F25="","",IFERROR(H25/J25+I25*(1-J25)/J25,0))</f>
        <v/>
      </c>
      <c r="R25" s="9" t="str">
        <f aca="false">IF(F25="","",F25*L25)</f>
        <v/>
      </c>
      <c r="S25" s="9" t="str">
        <f aca="false">IF(F25="","",P25+Q25+K25+R25)</f>
        <v/>
      </c>
      <c r="T25" s="9" t="str">
        <f aca="false">IF(F25="","",F25*M25)</f>
        <v/>
      </c>
      <c r="U25" s="9" t="str">
        <f aca="false">IF(F25="","",F25*N25)</f>
        <v/>
      </c>
      <c r="V25" s="10" t="str">
        <f aca="false">IF(F25="","",F25-O25-S25-T25-U25)</f>
        <v/>
      </c>
      <c r="W25" s="11" t="str">
        <f aca="false">IF(F25="","",IFERROR(V25/F25,0))</f>
        <v/>
      </c>
      <c r="X25" s="11" t="str">
        <f aca="false">IF(F25="","",IFERROR(V25/O25,0))</f>
        <v/>
      </c>
      <c r="Y25" s="10" t="str">
        <f aca="false">IF(F25="","",V25+T25)</f>
        <v/>
      </c>
    </row>
    <row r="26" customFormat="false" ht="15" hidden="false" customHeight="false" outlineLevel="0" collapsed="false">
      <c r="A26" s="6"/>
      <c r="B26" s="6"/>
      <c r="C26" s="7"/>
      <c r="D26" s="7"/>
      <c r="E26" s="7"/>
      <c r="F26" s="7"/>
      <c r="G26" s="8"/>
      <c r="H26" s="7"/>
      <c r="I26" s="7"/>
      <c r="J26" s="8"/>
      <c r="K26" s="7"/>
      <c r="L26" s="8"/>
      <c r="M26" s="8"/>
      <c r="N26" s="8"/>
      <c r="O26" s="9" t="str">
        <f aca="false">IF(F26="","",C26+D26+E26)</f>
        <v/>
      </c>
      <c r="P26" s="9" t="str">
        <f aca="false">IF(F26="","",F26*G26)</f>
        <v/>
      </c>
      <c r="Q26" s="9" t="str">
        <f aca="false">IF(F26="","",IFERROR(H26/J26+I26*(1-J26)/J26,0))</f>
        <v/>
      </c>
      <c r="R26" s="9" t="str">
        <f aca="false">IF(F26="","",F26*L26)</f>
        <v/>
      </c>
      <c r="S26" s="9" t="str">
        <f aca="false">IF(F26="","",P26+Q26+K26+R26)</f>
        <v/>
      </c>
      <c r="T26" s="9" t="str">
        <f aca="false">IF(F26="","",F26*M26)</f>
        <v/>
      </c>
      <c r="U26" s="9" t="str">
        <f aca="false">IF(F26="","",F26*N26)</f>
        <v/>
      </c>
      <c r="V26" s="10" t="str">
        <f aca="false">IF(F26="","",F26-O26-S26-T26-U26)</f>
        <v/>
      </c>
      <c r="W26" s="11" t="str">
        <f aca="false">IF(F26="","",IFERROR(V26/F26,0))</f>
        <v/>
      </c>
      <c r="X26" s="11" t="str">
        <f aca="false">IF(F26="","",IFERROR(V26/O26,0))</f>
        <v/>
      </c>
      <c r="Y26" s="10" t="str">
        <f aca="false">IF(F26="","",V26+T26)</f>
        <v/>
      </c>
    </row>
    <row r="27" customFormat="false" ht="15" hidden="false" customHeight="false" outlineLevel="0" collapsed="false">
      <c r="A27" s="6"/>
      <c r="B27" s="6"/>
      <c r="C27" s="7"/>
      <c r="D27" s="7"/>
      <c r="E27" s="7"/>
      <c r="F27" s="7"/>
      <c r="G27" s="8"/>
      <c r="H27" s="7"/>
      <c r="I27" s="7"/>
      <c r="J27" s="8"/>
      <c r="K27" s="7"/>
      <c r="L27" s="8"/>
      <c r="M27" s="8"/>
      <c r="N27" s="8"/>
      <c r="O27" s="9" t="str">
        <f aca="false">IF(F27="","",C27+D27+E27)</f>
        <v/>
      </c>
      <c r="P27" s="9" t="str">
        <f aca="false">IF(F27="","",F27*G27)</f>
        <v/>
      </c>
      <c r="Q27" s="9" t="str">
        <f aca="false">IF(F27="","",IFERROR(H27/J27+I27*(1-J27)/J27,0))</f>
        <v/>
      </c>
      <c r="R27" s="9" t="str">
        <f aca="false">IF(F27="","",F27*L27)</f>
        <v/>
      </c>
      <c r="S27" s="9" t="str">
        <f aca="false">IF(F27="","",P27+Q27+K27+R27)</f>
        <v/>
      </c>
      <c r="T27" s="9" t="str">
        <f aca="false">IF(F27="","",F27*M27)</f>
        <v/>
      </c>
      <c r="U27" s="9" t="str">
        <f aca="false">IF(F27="","",F27*N27)</f>
        <v/>
      </c>
      <c r="V27" s="10" t="str">
        <f aca="false">IF(F27="","",F27-O27-S27-T27-U27)</f>
        <v/>
      </c>
      <c r="W27" s="11" t="str">
        <f aca="false">IF(F27="","",IFERROR(V27/F27,0))</f>
        <v/>
      </c>
      <c r="X27" s="11" t="str">
        <f aca="false">IF(F27="","",IFERROR(V27/O27,0))</f>
        <v/>
      </c>
      <c r="Y27" s="10" t="str">
        <f aca="false">IF(F27="","",V27+T27)</f>
        <v/>
      </c>
    </row>
    <row r="28" customFormat="false" ht="15" hidden="false" customHeight="false" outlineLevel="0" collapsed="false">
      <c r="A28" s="6"/>
      <c r="B28" s="6"/>
      <c r="C28" s="7"/>
      <c r="D28" s="7"/>
      <c r="E28" s="7"/>
      <c r="F28" s="7"/>
      <c r="G28" s="8"/>
      <c r="H28" s="7"/>
      <c r="I28" s="7"/>
      <c r="J28" s="8"/>
      <c r="K28" s="7"/>
      <c r="L28" s="8"/>
      <c r="M28" s="8"/>
      <c r="N28" s="8"/>
      <c r="O28" s="9" t="str">
        <f aca="false">IF(F28="","",C28+D28+E28)</f>
        <v/>
      </c>
      <c r="P28" s="9" t="str">
        <f aca="false">IF(F28="","",F28*G28)</f>
        <v/>
      </c>
      <c r="Q28" s="9" t="str">
        <f aca="false">IF(F28="","",IFERROR(H28/J28+I28*(1-J28)/J28,0))</f>
        <v/>
      </c>
      <c r="R28" s="9" t="str">
        <f aca="false">IF(F28="","",F28*L28)</f>
        <v/>
      </c>
      <c r="S28" s="9" t="str">
        <f aca="false">IF(F28="","",P28+Q28+K28+R28)</f>
        <v/>
      </c>
      <c r="T28" s="9" t="str">
        <f aca="false">IF(F28="","",F28*M28)</f>
        <v/>
      </c>
      <c r="U28" s="9" t="str">
        <f aca="false">IF(F28="","",F28*N28)</f>
        <v/>
      </c>
      <c r="V28" s="10" t="str">
        <f aca="false">IF(F28="","",F28-O28-S28-T28-U28)</f>
        <v/>
      </c>
      <c r="W28" s="11" t="str">
        <f aca="false">IF(F28="","",IFERROR(V28/F28,0))</f>
        <v/>
      </c>
      <c r="X28" s="11" t="str">
        <f aca="false">IF(F28="","",IFERROR(V28/O28,0))</f>
        <v/>
      </c>
      <c r="Y28" s="10" t="str">
        <f aca="false">IF(F28="","",V28+T28)</f>
        <v/>
      </c>
    </row>
    <row r="29" customFormat="false" ht="15" hidden="false" customHeight="false" outlineLevel="0" collapsed="false">
      <c r="A29" s="6"/>
      <c r="B29" s="6"/>
      <c r="C29" s="7"/>
      <c r="D29" s="7"/>
      <c r="E29" s="7"/>
      <c r="F29" s="7"/>
      <c r="G29" s="8"/>
      <c r="H29" s="7"/>
      <c r="I29" s="7"/>
      <c r="J29" s="8"/>
      <c r="K29" s="7"/>
      <c r="L29" s="8"/>
      <c r="M29" s="8"/>
      <c r="N29" s="8"/>
      <c r="O29" s="9" t="str">
        <f aca="false">IF(F29="","",C29+D29+E29)</f>
        <v/>
      </c>
      <c r="P29" s="9" t="str">
        <f aca="false">IF(F29="","",F29*G29)</f>
        <v/>
      </c>
      <c r="Q29" s="9" t="str">
        <f aca="false">IF(F29="","",IFERROR(H29/J29+I29*(1-J29)/J29,0))</f>
        <v/>
      </c>
      <c r="R29" s="9" t="str">
        <f aca="false">IF(F29="","",F29*L29)</f>
        <v/>
      </c>
      <c r="S29" s="9" t="str">
        <f aca="false">IF(F29="","",P29+Q29+K29+R29)</f>
        <v/>
      </c>
      <c r="T29" s="9" t="str">
        <f aca="false">IF(F29="","",F29*M29)</f>
        <v/>
      </c>
      <c r="U29" s="9" t="str">
        <f aca="false">IF(F29="","",F29*N29)</f>
        <v/>
      </c>
      <c r="V29" s="10" t="str">
        <f aca="false">IF(F29="","",F29-O29-S29-T29-U29)</f>
        <v/>
      </c>
      <c r="W29" s="11" t="str">
        <f aca="false">IF(F29="","",IFERROR(V29/F29,0))</f>
        <v/>
      </c>
      <c r="X29" s="11" t="str">
        <f aca="false">IF(F29="","",IFERROR(V29/O29,0))</f>
        <v/>
      </c>
      <c r="Y29" s="10" t="str">
        <f aca="false">IF(F29="","",V29+T29)</f>
        <v/>
      </c>
    </row>
    <row r="30" customFormat="false" ht="15" hidden="false" customHeight="false" outlineLevel="0" collapsed="false">
      <c r="A30" s="6"/>
      <c r="B30" s="6"/>
      <c r="C30" s="7"/>
      <c r="D30" s="7"/>
      <c r="E30" s="7"/>
      <c r="F30" s="7"/>
      <c r="G30" s="8"/>
      <c r="H30" s="7"/>
      <c r="I30" s="7"/>
      <c r="J30" s="8"/>
      <c r="K30" s="7"/>
      <c r="L30" s="8"/>
      <c r="M30" s="8"/>
      <c r="N30" s="8"/>
      <c r="O30" s="9" t="str">
        <f aca="false">IF(F30="","",C30+D30+E30)</f>
        <v/>
      </c>
      <c r="P30" s="9" t="str">
        <f aca="false">IF(F30="","",F30*G30)</f>
        <v/>
      </c>
      <c r="Q30" s="9" t="str">
        <f aca="false">IF(F30="","",IFERROR(H30/J30+I30*(1-J30)/J30,0))</f>
        <v/>
      </c>
      <c r="R30" s="9" t="str">
        <f aca="false">IF(F30="","",F30*L30)</f>
        <v/>
      </c>
      <c r="S30" s="9" t="str">
        <f aca="false">IF(F30="","",P30+Q30+K30+R30)</f>
        <v/>
      </c>
      <c r="T30" s="9" t="str">
        <f aca="false">IF(F30="","",F30*M30)</f>
        <v/>
      </c>
      <c r="U30" s="9" t="str">
        <f aca="false">IF(F30="","",F30*N30)</f>
        <v/>
      </c>
      <c r="V30" s="10" t="str">
        <f aca="false">IF(F30="","",F30-O30-S30-T30-U30)</f>
        <v/>
      </c>
      <c r="W30" s="11" t="str">
        <f aca="false">IF(F30="","",IFERROR(V30/F30,0))</f>
        <v/>
      </c>
      <c r="X30" s="11" t="str">
        <f aca="false">IF(F30="","",IFERROR(V30/O30,0))</f>
        <v/>
      </c>
      <c r="Y30" s="10" t="str">
        <f aca="false">IF(F30="","",V30+T30)</f>
        <v/>
      </c>
    </row>
    <row r="31" customFormat="false" ht="15" hidden="false" customHeight="false" outlineLevel="0" collapsed="false">
      <c r="A31" s="6"/>
      <c r="B31" s="6"/>
      <c r="C31" s="7"/>
      <c r="D31" s="7"/>
      <c r="E31" s="7"/>
      <c r="F31" s="7"/>
      <c r="G31" s="8"/>
      <c r="H31" s="7"/>
      <c r="I31" s="7"/>
      <c r="J31" s="8"/>
      <c r="K31" s="7"/>
      <c r="L31" s="8"/>
      <c r="M31" s="8"/>
      <c r="N31" s="8"/>
      <c r="O31" s="9" t="str">
        <f aca="false">IF(F31="","",C31+D31+E31)</f>
        <v/>
      </c>
      <c r="P31" s="9" t="str">
        <f aca="false">IF(F31="","",F31*G31)</f>
        <v/>
      </c>
      <c r="Q31" s="9" t="str">
        <f aca="false">IF(F31="","",IFERROR(H31/J31+I31*(1-J31)/J31,0))</f>
        <v/>
      </c>
      <c r="R31" s="9" t="str">
        <f aca="false">IF(F31="","",F31*L31)</f>
        <v/>
      </c>
      <c r="S31" s="9" t="str">
        <f aca="false">IF(F31="","",P31+Q31+K31+R31)</f>
        <v/>
      </c>
      <c r="T31" s="9" t="str">
        <f aca="false">IF(F31="","",F31*M31)</f>
        <v/>
      </c>
      <c r="U31" s="9" t="str">
        <f aca="false">IF(F31="","",F31*N31)</f>
        <v/>
      </c>
      <c r="V31" s="10" t="str">
        <f aca="false">IF(F31="","",F31-O31-S31-T31-U31)</f>
        <v/>
      </c>
      <c r="W31" s="11" t="str">
        <f aca="false">IF(F31="","",IFERROR(V31/F31,0))</f>
        <v/>
      </c>
      <c r="X31" s="11" t="str">
        <f aca="false">IF(F31="","",IFERROR(V31/O31,0))</f>
        <v/>
      </c>
      <c r="Y31" s="10" t="str">
        <f aca="false">IF(F31="","",V31+T31)</f>
        <v/>
      </c>
    </row>
    <row r="32" customFormat="false" ht="15" hidden="false" customHeight="false" outlineLevel="0" collapsed="false">
      <c r="A32" s="6"/>
      <c r="B32" s="6"/>
      <c r="C32" s="7"/>
      <c r="D32" s="7"/>
      <c r="E32" s="7"/>
      <c r="F32" s="7"/>
      <c r="G32" s="8"/>
      <c r="H32" s="7"/>
      <c r="I32" s="7"/>
      <c r="J32" s="8"/>
      <c r="K32" s="7"/>
      <c r="L32" s="8"/>
      <c r="M32" s="8"/>
      <c r="N32" s="8"/>
      <c r="O32" s="9" t="str">
        <f aca="false">IF(F32="","",C32+D32+E32)</f>
        <v/>
      </c>
      <c r="P32" s="9" t="str">
        <f aca="false">IF(F32="","",F32*G32)</f>
        <v/>
      </c>
      <c r="Q32" s="9" t="str">
        <f aca="false">IF(F32="","",IFERROR(H32/J32+I32*(1-J32)/J32,0))</f>
        <v/>
      </c>
      <c r="R32" s="9" t="str">
        <f aca="false">IF(F32="","",F32*L32)</f>
        <v/>
      </c>
      <c r="S32" s="9" t="str">
        <f aca="false">IF(F32="","",P32+Q32+K32+R32)</f>
        <v/>
      </c>
      <c r="T32" s="9" t="str">
        <f aca="false">IF(F32="","",F32*M32)</f>
        <v/>
      </c>
      <c r="U32" s="9" t="str">
        <f aca="false">IF(F32="","",F32*N32)</f>
        <v/>
      </c>
      <c r="V32" s="10" t="str">
        <f aca="false">IF(F32="","",F32-O32-S32-T32-U32)</f>
        <v/>
      </c>
      <c r="W32" s="11" t="str">
        <f aca="false">IF(F32="","",IFERROR(V32/F32,0))</f>
        <v/>
      </c>
      <c r="X32" s="11" t="str">
        <f aca="false">IF(F32="","",IFERROR(V32/O32,0))</f>
        <v/>
      </c>
      <c r="Y32" s="10" t="str">
        <f aca="false">IF(F32="","",V32+T32)</f>
        <v/>
      </c>
    </row>
    <row r="33" customFormat="false" ht="15" hidden="false" customHeight="false" outlineLevel="0" collapsed="false">
      <c r="A33" s="6"/>
      <c r="B33" s="6"/>
      <c r="C33" s="7"/>
      <c r="D33" s="7"/>
      <c r="E33" s="7"/>
      <c r="F33" s="7"/>
      <c r="G33" s="8"/>
      <c r="H33" s="7"/>
      <c r="I33" s="7"/>
      <c r="J33" s="8"/>
      <c r="K33" s="7"/>
      <c r="L33" s="8"/>
      <c r="M33" s="8"/>
      <c r="N33" s="8"/>
      <c r="O33" s="9" t="str">
        <f aca="false">IF(F33="","",C33+D33+E33)</f>
        <v/>
      </c>
      <c r="P33" s="9" t="str">
        <f aca="false">IF(F33="","",F33*G33)</f>
        <v/>
      </c>
      <c r="Q33" s="9" t="str">
        <f aca="false">IF(F33="","",IFERROR(H33/J33+I33*(1-J33)/J33,0))</f>
        <v/>
      </c>
      <c r="R33" s="9" t="str">
        <f aca="false">IF(F33="","",F33*L33)</f>
        <v/>
      </c>
      <c r="S33" s="9" t="str">
        <f aca="false">IF(F33="","",P33+Q33+K33+R33)</f>
        <v/>
      </c>
      <c r="T33" s="9" t="str">
        <f aca="false">IF(F33="","",F33*M33)</f>
        <v/>
      </c>
      <c r="U33" s="9" t="str">
        <f aca="false">IF(F33="","",F33*N33)</f>
        <v/>
      </c>
      <c r="V33" s="10" t="str">
        <f aca="false">IF(F33="","",F33-O33-S33-T33-U33)</f>
        <v/>
      </c>
      <c r="W33" s="11" t="str">
        <f aca="false">IF(F33="","",IFERROR(V33/F33,0))</f>
        <v/>
      </c>
      <c r="X33" s="11" t="str">
        <f aca="false">IF(F33="","",IFERROR(V33/O33,0))</f>
        <v/>
      </c>
      <c r="Y33" s="10" t="str">
        <f aca="false">IF(F33="","",V33+T33)</f>
        <v/>
      </c>
    </row>
    <row r="34" customFormat="false" ht="15" hidden="false" customHeight="false" outlineLevel="0" collapsed="false">
      <c r="A34" s="6"/>
      <c r="B34" s="6"/>
      <c r="C34" s="7"/>
      <c r="D34" s="7"/>
      <c r="E34" s="7"/>
      <c r="F34" s="7"/>
      <c r="G34" s="8"/>
      <c r="H34" s="7"/>
      <c r="I34" s="7"/>
      <c r="J34" s="8"/>
      <c r="K34" s="7"/>
      <c r="L34" s="8"/>
      <c r="M34" s="8"/>
      <c r="N34" s="8"/>
      <c r="O34" s="9" t="str">
        <f aca="false">IF(F34="","",C34+D34+E34)</f>
        <v/>
      </c>
      <c r="P34" s="9" t="str">
        <f aca="false">IF(F34="","",F34*G34)</f>
        <v/>
      </c>
      <c r="Q34" s="9" t="str">
        <f aca="false">IF(F34="","",IFERROR(H34/J34+I34*(1-J34)/J34,0))</f>
        <v/>
      </c>
      <c r="R34" s="9" t="str">
        <f aca="false">IF(F34="","",F34*L34)</f>
        <v/>
      </c>
      <c r="S34" s="9" t="str">
        <f aca="false">IF(F34="","",P34+Q34+K34+R34)</f>
        <v/>
      </c>
      <c r="T34" s="9" t="str">
        <f aca="false">IF(F34="","",F34*M34)</f>
        <v/>
      </c>
      <c r="U34" s="9" t="str">
        <f aca="false">IF(F34="","",F34*N34)</f>
        <v/>
      </c>
      <c r="V34" s="10" t="str">
        <f aca="false">IF(F34="","",F34-O34-S34-T34-U34)</f>
        <v/>
      </c>
      <c r="W34" s="11" t="str">
        <f aca="false">IF(F34="","",IFERROR(V34/F34,0))</f>
        <v/>
      </c>
      <c r="X34" s="11" t="str">
        <f aca="false">IF(F34="","",IFERROR(V34/O34,0))</f>
        <v/>
      </c>
      <c r="Y34" s="10" t="str">
        <f aca="false">IF(F34="","",V34+T34)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4" t="s">
        <v>45</v>
      </c>
    </row>
    <row r="4" customFormat="false" ht="43.5" hidden="false" customHeight="true" outlineLevel="0" collapsed="false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54</v>
      </c>
      <c r="J4" s="5" t="s">
        <v>55</v>
      </c>
      <c r="K4" s="5" t="s">
        <v>56</v>
      </c>
      <c r="L4" s="5" t="s">
        <v>57</v>
      </c>
      <c r="M4" s="5" t="s">
        <v>58</v>
      </c>
    </row>
    <row r="5" customFormat="false" ht="15" hidden="false" customHeight="false" outlineLevel="0" collapsed="false">
      <c r="A5" s="12" t="n">
        <v>46296</v>
      </c>
      <c r="B5" s="6" t="s">
        <v>59</v>
      </c>
      <c r="C5" s="13" t="n">
        <v>12000</v>
      </c>
      <c r="D5" s="13" t="n">
        <v>420</v>
      </c>
      <c r="E5" s="13" t="n">
        <v>21</v>
      </c>
      <c r="F5" s="7" t="n">
        <v>4800</v>
      </c>
      <c r="G5" s="7" t="n">
        <v>31290</v>
      </c>
      <c r="H5" s="14" t="n">
        <f aca="false">IF(C5="","",IFERROR(D5/C5,0))</f>
        <v>0.035</v>
      </c>
      <c r="I5" s="9" t="n">
        <f aca="false">IF(C5="","",IFERROR(F5/D5,0))</f>
        <v>11.4285714285714</v>
      </c>
      <c r="J5" s="9" t="n">
        <f aca="false">IF(C5="","",IFERROR(F5/C5*1000,0))</f>
        <v>400</v>
      </c>
      <c r="K5" s="14" t="n">
        <f aca="false">IF(C5="","",IFERROR(E5/D5,0))</f>
        <v>0.05</v>
      </c>
      <c r="L5" s="9" t="n">
        <f aca="false">IF(C5="","",IFERROR(F5/E5,0))</f>
        <v>228.571428571429</v>
      </c>
      <c r="M5" s="15" t="n">
        <f aca="false">IF(C5="","",IFERROR(F5/G5,0))</f>
        <v>0.153403643336529</v>
      </c>
    </row>
    <row r="6" customFormat="false" ht="15" hidden="false" customHeight="false" outlineLevel="0" collapsed="false">
      <c r="A6" s="12"/>
      <c r="B6" s="6"/>
      <c r="C6" s="13"/>
      <c r="D6" s="13"/>
      <c r="E6" s="13"/>
      <c r="F6" s="7"/>
      <c r="G6" s="7"/>
      <c r="H6" s="14" t="str">
        <f aca="false">IF(C6="","",IFERROR(D6/C6,0))</f>
        <v/>
      </c>
      <c r="I6" s="9" t="str">
        <f aca="false">IF(C6="","",IFERROR(F6/D6,0))</f>
        <v/>
      </c>
      <c r="J6" s="9" t="str">
        <f aca="false">IF(C6="","",IFERROR(F6/C6*1000,0))</f>
        <v/>
      </c>
      <c r="K6" s="14" t="str">
        <f aca="false">IF(C6="","",IFERROR(E6/D6,0))</f>
        <v/>
      </c>
      <c r="L6" s="9" t="str">
        <f aca="false">IF(C6="","",IFERROR(F6/E6,0))</f>
        <v/>
      </c>
      <c r="M6" s="15" t="str">
        <f aca="false">IF(C6="","",IFERROR(F6/G6,0))</f>
        <v/>
      </c>
    </row>
    <row r="7" customFormat="false" ht="15" hidden="false" customHeight="false" outlineLevel="0" collapsed="false">
      <c r="A7" s="12"/>
      <c r="B7" s="6"/>
      <c r="C7" s="13"/>
      <c r="D7" s="13"/>
      <c r="E7" s="13"/>
      <c r="F7" s="7"/>
      <c r="G7" s="7"/>
      <c r="H7" s="14" t="str">
        <f aca="false">IF(C7="","",IFERROR(D7/C7,0))</f>
        <v/>
      </c>
      <c r="I7" s="9" t="str">
        <f aca="false">IF(C7="","",IFERROR(F7/D7,0))</f>
        <v/>
      </c>
      <c r="J7" s="9" t="str">
        <f aca="false">IF(C7="","",IFERROR(F7/C7*1000,0))</f>
        <v/>
      </c>
      <c r="K7" s="14" t="str">
        <f aca="false">IF(C7="","",IFERROR(E7/D7,0))</f>
        <v/>
      </c>
      <c r="L7" s="9" t="str">
        <f aca="false">IF(C7="","",IFERROR(F7/E7,0))</f>
        <v/>
      </c>
      <c r="M7" s="15" t="str">
        <f aca="false">IF(C7="","",IFERROR(F7/G7,0))</f>
        <v/>
      </c>
    </row>
    <row r="8" customFormat="false" ht="15" hidden="false" customHeight="false" outlineLevel="0" collapsed="false">
      <c r="A8" s="12"/>
      <c r="B8" s="6"/>
      <c r="C8" s="13"/>
      <c r="D8" s="13"/>
      <c r="E8" s="13"/>
      <c r="F8" s="7"/>
      <c r="G8" s="7"/>
      <c r="H8" s="14" t="str">
        <f aca="false">IF(C8="","",IFERROR(D8/C8,0))</f>
        <v/>
      </c>
      <c r="I8" s="9" t="str">
        <f aca="false">IF(C8="","",IFERROR(F8/D8,0))</f>
        <v/>
      </c>
      <c r="J8" s="9" t="str">
        <f aca="false">IF(C8="","",IFERROR(F8/C8*1000,0))</f>
        <v/>
      </c>
      <c r="K8" s="14" t="str">
        <f aca="false">IF(C8="","",IFERROR(E8/D8,0))</f>
        <v/>
      </c>
      <c r="L8" s="9" t="str">
        <f aca="false">IF(C8="","",IFERROR(F8/E8,0))</f>
        <v/>
      </c>
      <c r="M8" s="15" t="str">
        <f aca="false">IF(C8="","",IFERROR(F8/G8,0))</f>
        <v/>
      </c>
    </row>
    <row r="9" customFormat="false" ht="15" hidden="false" customHeight="false" outlineLevel="0" collapsed="false">
      <c r="A9" s="12"/>
      <c r="B9" s="6"/>
      <c r="C9" s="13"/>
      <c r="D9" s="13"/>
      <c r="E9" s="13"/>
      <c r="F9" s="7"/>
      <c r="G9" s="7"/>
      <c r="H9" s="14" t="str">
        <f aca="false">IF(C9="","",IFERROR(D9/C9,0))</f>
        <v/>
      </c>
      <c r="I9" s="9" t="str">
        <f aca="false">IF(C9="","",IFERROR(F9/D9,0))</f>
        <v/>
      </c>
      <c r="J9" s="9" t="str">
        <f aca="false">IF(C9="","",IFERROR(F9/C9*1000,0))</f>
        <v/>
      </c>
      <c r="K9" s="14" t="str">
        <f aca="false">IF(C9="","",IFERROR(E9/D9,0))</f>
        <v/>
      </c>
      <c r="L9" s="9" t="str">
        <f aca="false">IF(C9="","",IFERROR(F9/E9,0))</f>
        <v/>
      </c>
      <c r="M9" s="15" t="str">
        <f aca="false">IF(C9="","",IFERROR(F9/G9,0))</f>
        <v/>
      </c>
    </row>
    <row r="10" customFormat="false" ht="15" hidden="false" customHeight="false" outlineLevel="0" collapsed="false">
      <c r="A10" s="12"/>
      <c r="B10" s="6"/>
      <c r="C10" s="13"/>
      <c r="D10" s="13"/>
      <c r="E10" s="13"/>
      <c r="F10" s="7"/>
      <c r="G10" s="7"/>
      <c r="H10" s="14" t="str">
        <f aca="false">IF(C10="","",IFERROR(D10/C10,0))</f>
        <v/>
      </c>
      <c r="I10" s="9" t="str">
        <f aca="false">IF(C10="","",IFERROR(F10/D10,0))</f>
        <v/>
      </c>
      <c r="J10" s="9" t="str">
        <f aca="false">IF(C10="","",IFERROR(F10/C10*1000,0))</f>
        <v/>
      </c>
      <c r="K10" s="14" t="str">
        <f aca="false">IF(C10="","",IFERROR(E10/D10,0))</f>
        <v/>
      </c>
      <c r="L10" s="9" t="str">
        <f aca="false">IF(C10="","",IFERROR(F10/E10,0))</f>
        <v/>
      </c>
      <c r="M10" s="15" t="str">
        <f aca="false">IF(C10="","",IFERROR(F10/G10,0))</f>
        <v/>
      </c>
    </row>
    <row r="11" customFormat="false" ht="15" hidden="false" customHeight="false" outlineLevel="0" collapsed="false">
      <c r="A11" s="12"/>
      <c r="B11" s="6"/>
      <c r="C11" s="13"/>
      <c r="D11" s="13"/>
      <c r="E11" s="13"/>
      <c r="F11" s="7"/>
      <c r="G11" s="7"/>
      <c r="H11" s="14" t="str">
        <f aca="false">IF(C11="","",IFERROR(D11/C11,0))</f>
        <v/>
      </c>
      <c r="I11" s="9" t="str">
        <f aca="false">IF(C11="","",IFERROR(F11/D11,0))</f>
        <v/>
      </c>
      <c r="J11" s="9" t="str">
        <f aca="false">IF(C11="","",IFERROR(F11/C11*1000,0))</f>
        <v/>
      </c>
      <c r="K11" s="14" t="str">
        <f aca="false">IF(C11="","",IFERROR(E11/D11,0))</f>
        <v/>
      </c>
      <c r="L11" s="9" t="str">
        <f aca="false">IF(C11="","",IFERROR(F11/E11,0))</f>
        <v/>
      </c>
      <c r="M11" s="15" t="str">
        <f aca="false">IF(C11="","",IFERROR(F11/G11,0))</f>
        <v/>
      </c>
    </row>
    <row r="12" customFormat="false" ht="15" hidden="false" customHeight="false" outlineLevel="0" collapsed="false">
      <c r="A12" s="12"/>
      <c r="B12" s="6"/>
      <c r="C12" s="13"/>
      <c r="D12" s="13"/>
      <c r="E12" s="13"/>
      <c r="F12" s="7"/>
      <c r="G12" s="7"/>
      <c r="H12" s="14" t="str">
        <f aca="false">IF(C12="","",IFERROR(D12/C12,0))</f>
        <v/>
      </c>
      <c r="I12" s="9" t="str">
        <f aca="false">IF(C12="","",IFERROR(F12/D12,0))</f>
        <v/>
      </c>
      <c r="J12" s="9" t="str">
        <f aca="false">IF(C12="","",IFERROR(F12/C12*1000,0))</f>
        <v/>
      </c>
      <c r="K12" s="14" t="str">
        <f aca="false">IF(C12="","",IFERROR(E12/D12,0))</f>
        <v/>
      </c>
      <c r="L12" s="9" t="str">
        <f aca="false">IF(C12="","",IFERROR(F12/E12,0))</f>
        <v/>
      </c>
      <c r="M12" s="15" t="str">
        <f aca="false">IF(C12="","",IFERROR(F12/G12,0))</f>
        <v/>
      </c>
    </row>
    <row r="13" customFormat="false" ht="15" hidden="false" customHeight="false" outlineLevel="0" collapsed="false">
      <c r="A13" s="12"/>
      <c r="B13" s="6"/>
      <c r="C13" s="13"/>
      <c r="D13" s="13"/>
      <c r="E13" s="13"/>
      <c r="F13" s="7"/>
      <c r="G13" s="7"/>
      <c r="H13" s="14" t="str">
        <f aca="false">IF(C13="","",IFERROR(D13/C13,0))</f>
        <v/>
      </c>
      <c r="I13" s="9" t="str">
        <f aca="false">IF(C13="","",IFERROR(F13/D13,0))</f>
        <v/>
      </c>
      <c r="J13" s="9" t="str">
        <f aca="false">IF(C13="","",IFERROR(F13/C13*1000,0))</f>
        <v/>
      </c>
      <c r="K13" s="14" t="str">
        <f aca="false">IF(C13="","",IFERROR(E13/D13,0))</f>
        <v/>
      </c>
      <c r="L13" s="9" t="str">
        <f aca="false">IF(C13="","",IFERROR(F13/E13,0))</f>
        <v/>
      </c>
      <c r="M13" s="15" t="str">
        <f aca="false">IF(C13="","",IFERROR(F13/G13,0))</f>
        <v/>
      </c>
    </row>
    <row r="14" customFormat="false" ht="15" hidden="false" customHeight="false" outlineLevel="0" collapsed="false">
      <c r="A14" s="12"/>
      <c r="B14" s="6"/>
      <c r="C14" s="13"/>
      <c r="D14" s="13"/>
      <c r="E14" s="13"/>
      <c r="F14" s="7"/>
      <c r="G14" s="7"/>
      <c r="H14" s="14" t="str">
        <f aca="false">IF(C14="","",IFERROR(D14/C14,0))</f>
        <v/>
      </c>
      <c r="I14" s="9" t="str">
        <f aca="false">IF(C14="","",IFERROR(F14/D14,0))</f>
        <v/>
      </c>
      <c r="J14" s="9" t="str">
        <f aca="false">IF(C14="","",IFERROR(F14/C14*1000,0))</f>
        <v/>
      </c>
      <c r="K14" s="14" t="str">
        <f aca="false">IF(C14="","",IFERROR(E14/D14,0))</f>
        <v/>
      </c>
      <c r="L14" s="9" t="str">
        <f aca="false">IF(C14="","",IFERROR(F14/E14,0))</f>
        <v/>
      </c>
      <c r="M14" s="15" t="str">
        <f aca="false">IF(C14="","",IFERROR(F14/G14,0))</f>
        <v/>
      </c>
    </row>
    <row r="15" customFormat="false" ht="15" hidden="false" customHeight="false" outlineLevel="0" collapsed="false">
      <c r="A15" s="12"/>
      <c r="B15" s="6"/>
      <c r="C15" s="13"/>
      <c r="D15" s="13"/>
      <c r="E15" s="13"/>
      <c r="F15" s="7"/>
      <c r="G15" s="7"/>
      <c r="H15" s="14" t="str">
        <f aca="false">IF(C15="","",IFERROR(D15/C15,0))</f>
        <v/>
      </c>
      <c r="I15" s="9" t="str">
        <f aca="false">IF(C15="","",IFERROR(F15/D15,0))</f>
        <v/>
      </c>
      <c r="J15" s="9" t="str">
        <f aca="false">IF(C15="","",IFERROR(F15/C15*1000,0))</f>
        <v/>
      </c>
      <c r="K15" s="14" t="str">
        <f aca="false">IF(C15="","",IFERROR(E15/D15,0))</f>
        <v/>
      </c>
      <c r="L15" s="9" t="str">
        <f aca="false">IF(C15="","",IFERROR(F15/E15,0))</f>
        <v/>
      </c>
      <c r="M15" s="15" t="str">
        <f aca="false">IF(C15="","",IFERROR(F15/G15,0))</f>
        <v/>
      </c>
    </row>
    <row r="16" customFormat="false" ht="15" hidden="false" customHeight="false" outlineLevel="0" collapsed="false">
      <c r="A16" s="12"/>
      <c r="B16" s="6"/>
      <c r="C16" s="13"/>
      <c r="D16" s="13"/>
      <c r="E16" s="13"/>
      <c r="F16" s="7"/>
      <c r="G16" s="7"/>
      <c r="H16" s="14" t="str">
        <f aca="false">IF(C16="","",IFERROR(D16/C16,0))</f>
        <v/>
      </c>
      <c r="I16" s="9" t="str">
        <f aca="false">IF(C16="","",IFERROR(F16/D16,0))</f>
        <v/>
      </c>
      <c r="J16" s="9" t="str">
        <f aca="false">IF(C16="","",IFERROR(F16/C16*1000,0))</f>
        <v/>
      </c>
      <c r="K16" s="14" t="str">
        <f aca="false">IF(C16="","",IFERROR(E16/D16,0))</f>
        <v/>
      </c>
      <c r="L16" s="9" t="str">
        <f aca="false">IF(C16="","",IFERROR(F16/E16,0))</f>
        <v/>
      </c>
      <c r="M16" s="15" t="str">
        <f aca="false">IF(C16="","",IFERROR(F16/G16,0))</f>
        <v/>
      </c>
    </row>
    <row r="17" customFormat="false" ht="15" hidden="false" customHeight="false" outlineLevel="0" collapsed="false">
      <c r="A17" s="12"/>
      <c r="B17" s="6"/>
      <c r="C17" s="13"/>
      <c r="D17" s="13"/>
      <c r="E17" s="13"/>
      <c r="F17" s="7"/>
      <c r="G17" s="7"/>
      <c r="H17" s="14" t="str">
        <f aca="false">IF(C17="","",IFERROR(D17/C17,0))</f>
        <v/>
      </c>
      <c r="I17" s="9" t="str">
        <f aca="false">IF(C17="","",IFERROR(F17/D17,0))</f>
        <v/>
      </c>
      <c r="J17" s="9" t="str">
        <f aca="false">IF(C17="","",IFERROR(F17/C17*1000,0))</f>
        <v/>
      </c>
      <c r="K17" s="14" t="str">
        <f aca="false">IF(C17="","",IFERROR(E17/D17,0))</f>
        <v/>
      </c>
      <c r="L17" s="9" t="str">
        <f aca="false">IF(C17="","",IFERROR(F17/E17,0))</f>
        <v/>
      </c>
      <c r="M17" s="15" t="str">
        <f aca="false">IF(C17="","",IFERROR(F17/G17,0))</f>
        <v/>
      </c>
    </row>
    <row r="18" customFormat="false" ht="15" hidden="false" customHeight="false" outlineLevel="0" collapsed="false">
      <c r="A18" s="12"/>
      <c r="B18" s="6"/>
      <c r="C18" s="13"/>
      <c r="D18" s="13"/>
      <c r="E18" s="13"/>
      <c r="F18" s="7"/>
      <c r="G18" s="7"/>
      <c r="H18" s="14" t="str">
        <f aca="false">IF(C18="","",IFERROR(D18/C18,0))</f>
        <v/>
      </c>
      <c r="I18" s="9" t="str">
        <f aca="false">IF(C18="","",IFERROR(F18/D18,0))</f>
        <v/>
      </c>
      <c r="J18" s="9" t="str">
        <f aca="false">IF(C18="","",IFERROR(F18/C18*1000,0))</f>
        <v/>
      </c>
      <c r="K18" s="14" t="str">
        <f aca="false">IF(C18="","",IFERROR(E18/D18,0))</f>
        <v/>
      </c>
      <c r="L18" s="9" t="str">
        <f aca="false">IF(C18="","",IFERROR(F18/E18,0))</f>
        <v/>
      </c>
      <c r="M18" s="15" t="str">
        <f aca="false">IF(C18="","",IFERROR(F18/G18,0))</f>
        <v/>
      </c>
    </row>
    <row r="19" customFormat="false" ht="15" hidden="false" customHeight="false" outlineLevel="0" collapsed="false">
      <c r="A19" s="12"/>
      <c r="B19" s="6"/>
      <c r="C19" s="13"/>
      <c r="D19" s="13"/>
      <c r="E19" s="13"/>
      <c r="F19" s="7"/>
      <c r="G19" s="7"/>
      <c r="H19" s="14" t="str">
        <f aca="false">IF(C19="","",IFERROR(D19/C19,0))</f>
        <v/>
      </c>
      <c r="I19" s="9" t="str">
        <f aca="false">IF(C19="","",IFERROR(F19/D19,0))</f>
        <v/>
      </c>
      <c r="J19" s="9" t="str">
        <f aca="false">IF(C19="","",IFERROR(F19/C19*1000,0))</f>
        <v/>
      </c>
      <c r="K19" s="14" t="str">
        <f aca="false">IF(C19="","",IFERROR(E19/D19,0))</f>
        <v/>
      </c>
      <c r="L19" s="9" t="str">
        <f aca="false">IF(C19="","",IFERROR(F19/E19,0))</f>
        <v/>
      </c>
      <c r="M19" s="15" t="str">
        <f aca="false">IF(C19="","",IFERROR(F19/G19,0))</f>
        <v/>
      </c>
    </row>
    <row r="20" customFormat="false" ht="15" hidden="false" customHeight="false" outlineLevel="0" collapsed="false">
      <c r="A20" s="12"/>
      <c r="B20" s="6"/>
      <c r="C20" s="13"/>
      <c r="D20" s="13"/>
      <c r="E20" s="13"/>
      <c r="F20" s="7"/>
      <c r="G20" s="7"/>
      <c r="H20" s="14" t="str">
        <f aca="false">IF(C20="","",IFERROR(D20/C20,0))</f>
        <v/>
      </c>
      <c r="I20" s="9" t="str">
        <f aca="false">IF(C20="","",IFERROR(F20/D20,0))</f>
        <v/>
      </c>
      <c r="J20" s="9" t="str">
        <f aca="false">IF(C20="","",IFERROR(F20/C20*1000,0))</f>
        <v/>
      </c>
      <c r="K20" s="14" t="str">
        <f aca="false">IF(C20="","",IFERROR(E20/D20,0))</f>
        <v/>
      </c>
      <c r="L20" s="9" t="str">
        <f aca="false">IF(C20="","",IFERROR(F20/E20,0))</f>
        <v/>
      </c>
      <c r="M20" s="15" t="str">
        <f aca="false">IF(C20="","",IFERROR(F20/G20,0))</f>
        <v/>
      </c>
    </row>
    <row r="21" customFormat="false" ht="15" hidden="false" customHeight="false" outlineLevel="0" collapsed="false">
      <c r="A21" s="12"/>
      <c r="B21" s="6"/>
      <c r="C21" s="13"/>
      <c r="D21" s="13"/>
      <c r="E21" s="13"/>
      <c r="F21" s="7"/>
      <c r="G21" s="7"/>
      <c r="H21" s="14" t="str">
        <f aca="false">IF(C21="","",IFERROR(D21/C21,0))</f>
        <v/>
      </c>
      <c r="I21" s="9" t="str">
        <f aca="false">IF(C21="","",IFERROR(F21/D21,0))</f>
        <v/>
      </c>
      <c r="J21" s="9" t="str">
        <f aca="false">IF(C21="","",IFERROR(F21/C21*1000,0))</f>
        <v/>
      </c>
      <c r="K21" s="14" t="str">
        <f aca="false">IF(C21="","",IFERROR(E21/D21,0))</f>
        <v/>
      </c>
      <c r="L21" s="9" t="str">
        <f aca="false">IF(C21="","",IFERROR(F21/E21,0))</f>
        <v/>
      </c>
      <c r="M21" s="15" t="str">
        <f aca="false">IF(C21="","",IFERROR(F21/G21,0))</f>
        <v/>
      </c>
    </row>
    <row r="22" customFormat="false" ht="15" hidden="false" customHeight="false" outlineLevel="0" collapsed="false">
      <c r="A22" s="12"/>
      <c r="B22" s="6"/>
      <c r="C22" s="13"/>
      <c r="D22" s="13"/>
      <c r="E22" s="13"/>
      <c r="F22" s="7"/>
      <c r="G22" s="7"/>
      <c r="H22" s="14" t="str">
        <f aca="false">IF(C22="","",IFERROR(D22/C22,0))</f>
        <v/>
      </c>
      <c r="I22" s="9" t="str">
        <f aca="false">IF(C22="","",IFERROR(F22/D22,0))</f>
        <v/>
      </c>
      <c r="J22" s="9" t="str">
        <f aca="false">IF(C22="","",IFERROR(F22/C22*1000,0))</f>
        <v/>
      </c>
      <c r="K22" s="14" t="str">
        <f aca="false">IF(C22="","",IFERROR(E22/D22,0))</f>
        <v/>
      </c>
      <c r="L22" s="9" t="str">
        <f aca="false">IF(C22="","",IFERROR(F22/E22,0))</f>
        <v/>
      </c>
      <c r="M22" s="15" t="str">
        <f aca="false">IF(C22="","",IFERROR(F22/G22,0))</f>
        <v/>
      </c>
    </row>
    <row r="23" customFormat="false" ht="15" hidden="false" customHeight="false" outlineLevel="0" collapsed="false">
      <c r="A23" s="12"/>
      <c r="B23" s="6"/>
      <c r="C23" s="13"/>
      <c r="D23" s="13"/>
      <c r="E23" s="13"/>
      <c r="F23" s="7"/>
      <c r="G23" s="7"/>
      <c r="H23" s="14" t="str">
        <f aca="false">IF(C23="","",IFERROR(D23/C23,0))</f>
        <v/>
      </c>
      <c r="I23" s="9" t="str">
        <f aca="false">IF(C23="","",IFERROR(F23/D23,0))</f>
        <v/>
      </c>
      <c r="J23" s="9" t="str">
        <f aca="false">IF(C23="","",IFERROR(F23/C23*1000,0))</f>
        <v/>
      </c>
      <c r="K23" s="14" t="str">
        <f aca="false">IF(C23="","",IFERROR(E23/D23,0))</f>
        <v/>
      </c>
      <c r="L23" s="9" t="str">
        <f aca="false">IF(C23="","",IFERROR(F23/E23,0))</f>
        <v/>
      </c>
      <c r="M23" s="15" t="str">
        <f aca="false">IF(C23="","",IFERROR(F23/G23,0))</f>
        <v/>
      </c>
    </row>
    <row r="24" customFormat="false" ht="15" hidden="false" customHeight="false" outlineLevel="0" collapsed="false">
      <c r="A24" s="12"/>
      <c r="B24" s="6"/>
      <c r="C24" s="13"/>
      <c r="D24" s="13"/>
      <c r="E24" s="13"/>
      <c r="F24" s="7"/>
      <c r="G24" s="7"/>
      <c r="H24" s="14" t="str">
        <f aca="false">IF(C24="","",IFERROR(D24/C24,0))</f>
        <v/>
      </c>
      <c r="I24" s="9" t="str">
        <f aca="false">IF(C24="","",IFERROR(F24/D24,0))</f>
        <v/>
      </c>
      <c r="J24" s="9" t="str">
        <f aca="false">IF(C24="","",IFERROR(F24/C24*1000,0))</f>
        <v/>
      </c>
      <c r="K24" s="14" t="str">
        <f aca="false">IF(C24="","",IFERROR(E24/D24,0))</f>
        <v/>
      </c>
      <c r="L24" s="9" t="str">
        <f aca="false">IF(C24="","",IFERROR(F24/E24,0))</f>
        <v/>
      </c>
      <c r="M24" s="15" t="str">
        <f aca="false">IF(C24="","",IFERROR(F24/G24,0))</f>
        <v/>
      </c>
    </row>
    <row r="25" customFormat="false" ht="15" hidden="false" customHeight="false" outlineLevel="0" collapsed="false">
      <c r="A25" s="12"/>
      <c r="B25" s="6"/>
      <c r="C25" s="13"/>
      <c r="D25" s="13"/>
      <c r="E25" s="13"/>
      <c r="F25" s="7"/>
      <c r="G25" s="7"/>
      <c r="H25" s="14" t="str">
        <f aca="false">IF(C25="","",IFERROR(D25/C25,0))</f>
        <v/>
      </c>
      <c r="I25" s="9" t="str">
        <f aca="false">IF(C25="","",IFERROR(F25/D25,0))</f>
        <v/>
      </c>
      <c r="J25" s="9" t="str">
        <f aca="false">IF(C25="","",IFERROR(F25/C25*1000,0))</f>
        <v/>
      </c>
      <c r="K25" s="14" t="str">
        <f aca="false">IF(C25="","",IFERROR(E25/D25,0))</f>
        <v/>
      </c>
      <c r="L25" s="9" t="str">
        <f aca="false">IF(C25="","",IFERROR(F25/E25,0))</f>
        <v/>
      </c>
      <c r="M25" s="15" t="str">
        <f aca="false">IF(C25="","",IFERROR(F25/G25,0))</f>
        <v/>
      </c>
    </row>
    <row r="26" customFormat="false" ht="15" hidden="false" customHeight="false" outlineLevel="0" collapsed="false">
      <c r="A26" s="12"/>
      <c r="B26" s="6"/>
      <c r="C26" s="13"/>
      <c r="D26" s="13"/>
      <c r="E26" s="13"/>
      <c r="F26" s="7"/>
      <c r="G26" s="7"/>
      <c r="H26" s="14" t="str">
        <f aca="false">IF(C26="","",IFERROR(D26/C26,0))</f>
        <v/>
      </c>
      <c r="I26" s="9" t="str">
        <f aca="false">IF(C26="","",IFERROR(F26/D26,0))</f>
        <v/>
      </c>
      <c r="J26" s="9" t="str">
        <f aca="false">IF(C26="","",IFERROR(F26/C26*1000,0))</f>
        <v/>
      </c>
      <c r="K26" s="14" t="str">
        <f aca="false">IF(C26="","",IFERROR(E26/D26,0))</f>
        <v/>
      </c>
      <c r="L26" s="9" t="str">
        <f aca="false">IF(C26="","",IFERROR(F26/E26,0))</f>
        <v/>
      </c>
      <c r="M26" s="15" t="str">
        <f aca="false">IF(C26="","",IFERROR(F26/G26,0))</f>
        <v/>
      </c>
    </row>
    <row r="27" customFormat="false" ht="15" hidden="false" customHeight="false" outlineLevel="0" collapsed="false">
      <c r="A27" s="12"/>
      <c r="B27" s="6"/>
      <c r="C27" s="13"/>
      <c r="D27" s="13"/>
      <c r="E27" s="13"/>
      <c r="F27" s="7"/>
      <c r="G27" s="7"/>
      <c r="H27" s="14" t="str">
        <f aca="false">IF(C27="","",IFERROR(D27/C27,0))</f>
        <v/>
      </c>
      <c r="I27" s="9" t="str">
        <f aca="false">IF(C27="","",IFERROR(F27/D27,0))</f>
        <v/>
      </c>
      <c r="J27" s="9" t="str">
        <f aca="false">IF(C27="","",IFERROR(F27/C27*1000,0))</f>
        <v/>
      </c>
      <c r="K27" s="14" t="str">
        <f aca="false">IF(C27="","",IFERROR(E27/D27,0))</f>
        <v/>
      </c>
      <c r="L27" s="9" t="str">
        <f aca="false">IF(C27="","",IFERROR(F27/E27,0))</f>
        <v/>
      </c>
      <c r="M27" s="15" t="str">
        <f aca="false">IF(C27="","",IFERROR(F27/G27,0))</f>
        <v/>
      </c>
    </row>
    <row r="28" customFormat="false" ht="15" hidden="false" customHeight="false" outlineLevel="0" collapsed="false">
      <c r="A28" s="12"/>
      <c r="B28" s="6"/>
      <c r="C28" s="13"/>
      <c r="D28" s="13"/>
      <c r="E28" s="13"/>
      <c r="F28" s="7"/>
      <c r="G28" s="7"/>
      <c r="H28" s="14" t="str">
        <f aca="false">IF(C28="","",IFERROR(D28/C28,0))</f>
        <v/>
      </c>
      <c r="I28" s="9" t="str">
        <f aca="false">IF(C28="","",IFERROR(F28/D28,0))</f>
        <v/>
      </c>
      <c r="J28" s="9" t="str">
        <f aca="false">IF(C28="","",IFERROR(F28/C28*1000,0))</f>
        <v/>
      </c>
      <c r="K28" s="14" t="str">
        <f aca="false">IF(C28="","",IFERROR(E28/D28,0))</f>
        <v/>
      </c>
      <c r="L28" s="9" t="str">
        <f aca="false">IF(C28="","",IFERROR(F28/E28,0))</f>
        <v/>
      </c>
      <c r="M28" s="15" t="str">
        <f aca="false">IF(C28="","",IFERROR(F28/G28,0))</f>
        <v/>
      </c>
    </row>
    <row r="29" customFormat="false" ht="15" hidden="false" customHeight="false" outlineLevel="0" collapsed="false">
      <c r="A29" s="12"/>
      <c r="B29" s="6"/>
      <c r="C29" s="13"/>
      <c r="D29" s="13"/>
      <c r="E29" s="13"/>
      <c r="F29" s="7"/>
      <c r="G29" s="7"/>
      <c r="H29" s="14" t="str">
        <f aca="false">IF(C29="","",IFERROR(D29/C29,0))</f>
        <v/>
      </c>
      <c r="I29" s="9" t="str">
        <f aca="false">IF(C29="","",IFERROR(F29/D29,0))</f>
        <v/>
      </c>
      <c r="J29" s="9" t="str">
        <f aca="false">IF(C29="","",IFERROR(F29/C29*1000,0))</f>
        <v/>
      </c>
      <c r="K29" s="14" t="str">
        <f aca="false">IF(C29="","",IFERROR(E29/D29,0))</f>
        <v/>
      </c>
      <c r="L29" s="9" t="str">
        <f aca="false">IF(C29="","",IFERROR(F29/E29,0))</f>
        <v/>
      </c>
      <c r="M29" s="15" t="str">
        <f aca="false">IF(C29="","",IFERROR(F29/G29,0))</f>
        <v/>
      </c>
    </row>
    <row r="30" customFormat="false" ht="15" hidden="false" customHeight="false" outlineLevel="0" collapsed="false">
      <c r="A30" s="12"/>
      <c r="B30" s="6"/>
      <c r="C30" s="13"/>
      <c r="D30" s="13"/>
      <c r="E30" s="13"/>
      <c r="F30" s="7"/>
      <c r="G30" s="7"/>
      <c r="H30" s="14" t="str">
        <f aca="false">IF(C30="","",IFERROR(D30/C30,0))</f>
        <v/>
      </c>
      <c r="I30" s="9" t="str">
        <f aca="false">IF(C30="","",IFERROR(F30/D30,0))</f>
        <v/>
      </c>
      <c r="J30" s="9" t="str">
        <f aca="false">IF(C30="","",IFERROR(F30/C30*1000,0))</f>
        <v/>
      </c>
      <c r="K30" s="14" t="str">
        <f aca="false">IF(C30="","",IFERROR(E30/D30,0))</f>
        <v/>
      </c>
      <c r="L30" s="9" t="str">
        <f aca="false">IF(C30="","",IFERROR(F30/E30,0))</f>
        <v/>
      </c>
      <c r="M30" s="15" t="str">
        <f aca="false">IF(C30="","",IFERROR(F30/G30,0))</f>
        <v/>
      </c>
    </row>
    <row r="31" customFormat="false" ht="15" hidden="false" customHeight="false" outlineLevel="0" collapsed="false">
      <c r="A31" s="12"/>
      <c r="B31" s="6"/>
      <c r="C31" s="13"/>
      <c r="D31" s="13"/>
      <c r="E31" s="13"/>
      <c r="F31" s="7"/>
      <c r="G31" s="7"/>
      <c r="H31" s="14" t="str">
        <f aca="false">IF(C31="","",IFERROR(D31/C31,0))</f>
        <v/>
      </c>
      <c r="I31" s="9" t="str">
        <f aca="false">IF(C31="","",IFERROR(F31/D31,0))</f>
        <v/>
      </c>
      <c r="J31" s="9" t="str">
        <f aca="false">IF(C31="","",IFERROR(F31/C31*1000,0))</f>
        <v/>
      </c>
      <c r="K31" s="14" t="str">
        <f aca="false">IF(C31="","",IFERROR(E31/D31,0))</f>
        <v/>
      </c>
      <c r="L31" s="9" t="str">
        <f aca="false">IF(C31="","",IFERROR(F31/E31,0))</f>
        <v/>
      </c>
      <c r="M31" s="15" t="str">
        <f aca="false">IF(C31="","",IFERROR(F31/G31,0))</f>
        <v/>
      </c>
    </row>
    <row r="32" customFormat="false" ht="15" hidden="false" customHeight="false" outlineLevel="0" collapsed="false">
      <c r="A32" s="12"/>
      <c r="B32" s="6"/>
      <c r="C32" s="13"/>
      <c r="D32" s="13"/>
      <c r="E32" s="13"/>
      <c r="F32" s="7"/>
      <c r="G32" s="7"/>
      <c r="H32" s="14" t="str">
        <f aca="false">IF(C32="","",IFERROR(D32/C32,0))</f>
        <v/>
      </c>
      <c r="I32" s="9" t="str">
        <f aca="false">IF(C32="","",IFERROR(F32/D32,0))</f>
        <v/>
      </c>
      <c r="J32" s="9" t="str">
        <f aca="false">IF(C32="","",IFERROR(F32/C32*1000,0))</f>
        <v/>
      </c>
      <c r="K32" s="14" t="str">
        <f aca="false">IF(C32="","",IFERROR(E32/D32,0))</f>
        <v/>
      </c>
      <c r="L32" s="9" t="str">
        <f aca="false">IF(C32="","",IFERROR(F32/E32,0))</f>
        <v/>
      </c>
      <c r="M32" s="15" t="str">
        <f aca="false">IF(C32="","",IFERROR(F32/G32,0))</f>
        <v/>
      </c>
    </row>
    <row r="33" customFormat="false" ht="15" hidden="false" customHeight="false" outlineLevel="0" collapsed="false">
      <c r="A33" s="12"/>
      <c r="B33" s="6"/>
      <c r="C33" s="13"/>
      <c r="D33" s="13"/>
      <c r="E33" s="13"/>
      <c r="F33" s="7"/>
      <c r="G33" s="7"/>
      <c r="H33" s="14" t="str">
        <f aca="false">IF(C33="","",IFERROR(D33/C33,0))</f>
        <v/>
      </c>
      <c r="I33" s="9" t="str">
        <f aca="false">IF(C33="","",IFERROR(F33/D33,0))</f>
        <v/>
      </c>
      <c r="J33" s="9" t="str">
        <f aca="false">IF(C33="","",IFERROR(F33/C33*1000,0))</f>
        <v/>
      </c>
      <c r="K33" s="14" t="str">
        <f aca="false">IF(C33="","",IFERROR(E33/D33,0))</f>
        <v/>
      </c>
      <c r="L33" s="9" t="str">
        <f aca="false">IF(C33="","",IFERROR(F33/E33,0))</f>
        <v/>
      </c>
      <c r="M33" s="15" t="str">
        <f aca="false">IF(C33="","",IFERROR(F33/G33,0))</f>
        <v/>
      </c>
    </row>
    <row r="34" customFormat="false" ht="15" hidden="false" customHeight="false" outlineLevel="0" collapsed="false">
      <c r="A34" s="12"/>
      <c r="B34" s="6"/>
      <c r="C34" s="13"/>
      <c r="D34" s="13"/>
      <c r="E34" s="13"/>
      <c r="F34" s="7"/>
      <c r="G34" s="7"/>
      <c r="H34" s="14" t="str">
        <f aca="false">IF(C34="","",IFERROR(D34/C34,0))</f>
        <v/>
      </c>
      <c r="I34" s="9" t="str">
        <f aca="false">IF(C34="","",IFERROR(F34/D34,0))</f>
        <v/>
      </c>
      <c r="J34" s="9" t="str">
        <f aca="false">IF(C34="","",IFERROR(F34/C34*1000,0))</f>
        <v/>
      </c>
      <c r="K34" s="14" t="str">
        <f aca="false">IF(C34="","",IFERROR(E34/D34,0))</f>
        <v/>
      </c>
      <c r="L34" s="9" t="str">
        <f aca="false">IF(C34="","",IFERROR(F34/E34,0))</f>
        <v/>
      </c>
      <c r="M34" s="15" t="str">
        <f aca="false">IF(C34="","",IFERROR(F34/G34,0))</f>
        <v/>
      </c>
    </row>
    <row r="35" customFormat="false" ht="15" hidden="false" customHeight="false" outlineLevel="0" collapsed="false">
      <c r="A35" s="12"/>
      <c r="B35" s="6"/>
      <c r="C35" s="13"/>
      <c r="D35" s="13"/>
      <c r="E35" s="13"/>
      <c r="F35" s="7"/>
      <c r="G35" s="7"/>
      <c r="H35" s="14" t="str">
        <f aca="false">IF(C35="","",IFERROR(D35/C35,0))</f>
        <v/>
      </c>
      <c r="I35" s="9" t="str">
        <f aca="false">IF(C35="","",IFERROR(F35/D35,0))</f>
        <v/>
      </c>
      <c r="J35" s="9" t="str">
        <f aca="false">IF(C35="","",IFERROR(F35/C35*1000,0))</f>
        <v/>
      </c>
      <c r="K35" s="14" t="str">
        <f aca="false">IF(C35="","",IFERROR(E35/D35,0))</f>
        <v/>
      </c>
      <c r="L35" s="9" t="str">
        <f aca="false">IF(C35="","",IFERROR(F35/E35,0))</f>
        <v/>
      </c>
      <c r="M35" s="15" t="str">
        <f aca="false">IF(C35="","",IFERROR(F35/G35,0))</f>
        <v/>
      </c>
    </row>
    <row r="36" customFormat="false" ht="15" hidden="false" customHeight="false" outlineLevel="0" collapsed="false">
      <c r="A36" s="12"/>
      <c r="B36" s="6"/>
      <c r="C36" s="13"/>
      <c r="D36" s="13"/>
      <c r="E36" s="13"/>
      <c r="F36" s="7"/>
      <c r="G36" s="7"/>
      <c r="H36" s="14" t="str">
        <f aca="false">IF(C36="","",IFERROR(D36/C36,0))</f>
        <v/>
      </c>
      <c r="I36" s="9" t="str">
        <f aca="false">IF(C36="","",IFERROR(F36/D36,0))</f>
        <v/>
      </c>
      <c r="J36" s="9" t="str">
        <f aca="false">IF(C36="","",IFERROR(F36/C36*1000,0))</f>
        <v/>
      </c>
      <c r="K36" s="14" t="str">
        <f aca="false">IF(C36="","",IFERROR(E36/D36,0))</f>
        <v/>
      </c>
      <c r="L36" s="9" t="str">
        <f aca="false">IF(C36="","",IFERROR(F36/E36,0))</f>
        <v/>
      </c>
      <c r="M36" s="15" t="str">
        <f aca="false">IF(C36="","",IFERROR(F36/G36,0))</f>
        <v/>
      </c>
    </row>
    <row r="37" customFormat="false" ht="15" hidden="false" customHeight="false" outlineLevel="0" collapsed="false">
      <c r="A37" s="12"/>
      <c r="B37" s="6"/>
      <c r="C37" s="13"/>
      <c r="D37" s="13"/>
      <c r="E37" s="13"/>
      <c r="F37" s="7"/>
      <c r="G37" s="7"/>
      <c r="H37" s="14" t="str">
        <f aca="false">IF(C37="","",IFERROR(D37/C37,0))</f>
        <v/>
      </c>
      <c r="I37" s="9" t="str">
        <f aca="false">IF(C37="","",IFERROR(F37/D37,0))</f>
        <v/>
      </c>
      <c r="J37" s="9" t="str">
        <f aca="false">IF(C37="","",IFERROR(F37/C37*1000,0))</f>
        <v/>
      </c>
      <c r="K37" s="14" t="str">
        <f aca="false">IF(C37="","",IFERROR(E37/D37,0))</f>
        <v/>
      </c>
      <c r="L37" s="9" t="str">
        <f aca="false">IF(C37="","",IFERROR(F37/E37,0))</f>
        <v/>
      </c>
      <c r="M37" s="15" t="str">
        <f aca="false">IF(C37="","",IFERROR(F37/G37,0))</f>
        <v/>
      </c>
    </row>
    <row r="38" customFormat="false" ht="15" hidden="false" customHeight="false" outlineLevel="0" collapsed="false">
      <c r="A38" s="12"/>
      <c r="B38" s="6"/>
      <c r="C38" s="13"/>
      <c r="D38" s="13"/>
      <c r="E38" s="13"/>
      <c r="F38" s="7"/>
      <c r="G38" s="7"/>
      <c r="H38" s="14" t="str">
        <f aca="false">IF(C38="","",IFERROR(D38/C38,0))</f>
        <v/>
      </c>
      <c r="I38" s="9" t="str">
        <f aca="false">IF(C38="","",IFERROR(F38/D38,0))</f>
        <v/>
      </c>
      <c r="J38" s="9" t="str">
        <f aca="false">IF(C38="","",IFERROR(F38/C38*1000,0))</f>
        <v/>
      </c>
      <c r="K38" s="14" t="str">
        <f aca="false">IF(C38="","",IFERROR(E38/D38,0))</f>
        <v/>
      </c>
      <c r="L38" s="9" t="str">
        <f aca="false">IF(C38="","",IFERROR(F38/E38,0))</f>
        <v/>
      </c>
      <c r="M38" s="15" t="str">
        <f aca="false">IF(C38="","",IFERROR(F38/G38,0))</f>
        <v/>
      </c>
    </row>
    <row r="39" customFormat="false" ht="15" hidden="false" customHeight="false" outlineLevel="0" collapsed="false">
      <c r="A39" s="12"/>
      <c r="B39" s="6"/>
      <c r="C39" s="13"/>
      <c r="D39" s="13"/>
      <c r="E39" s="13"/>
      <c r="F39" s="7"/>
      <c r="G39" s="7"/>
      <c r="H39" s="14" t="str">
        <f aca="false">IF(C39="","",IFERROR(D39/C39,0))</f>
        <v/>
      </c>
      <c r="I39" s="9" t="str">
        <f aca="false">IF(C39="","",IFERROR(F39/D39,0))</f>
        <v/>
      </c>
      <c r="J39" s="9" t="str">
        <f aca="false">IF(C39="","",IFERROR(F39/C39*1000,0))</f>
        <v/>
      </c>
      <c r="K39" s="14" t="str">
        <f aca="false">IF(C39="","",IFERROR(E39/D39,0))</f>
        <v/>
      </c>
      <c r="L39" s="9" t="str">
        <f aca="false">IF(C39="","",IFERROR(F39/E39,0))</f>
        <v/>
      </c>
      <c r="M39" s="15" t="str">
        <f aca="false">IF(C39="","",IFERROR(F39/G39,0))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2026-10-11T11:15:16Z</dcterms:created>
  <dc:creator>openpyxl</dc:creator>
  <dc:description/>
  <dc:language>en-US</dc:language>
  <cp:lastModifiedBy/>
  <dcterms:modified xsi:type="dcterms:W3CDTF">2026-10-11T11:15:16Z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